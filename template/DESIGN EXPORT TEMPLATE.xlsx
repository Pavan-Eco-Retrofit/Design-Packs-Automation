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avanBanavasi\Downloads\"/>
    </mc:Choice>
  </mc:AlternateContent>
  <xr:revisionPtr revIDLastSave="0" documentId="13_ncr:1_{BC1C49ED-6257-4C5D-B7B6-BEC0B5D82F0A}" xr6:coauthVersionLast="47" xr6:coauthVersionMax="47" xr10:uidLastSave="{00000000-0000-0000-0000-000000000000}"/>
  <bookViews>
    <workbookView xWindow="-108" yWindow="-108" windowWidth="23256" windowHeight="13896" xr2:uid="{00000000-000D-0000-FFFF-FFFF00000000}"/>
  </bookViews>
  <sheets>
    <sheet name="4.0" sheetId="1" r:id="rId1"/>
    <sheet name="7.0" sheetId="2" r:id="rId2"/>
    <sheet name="10.0" sheetId="8" r:id="rId3"/>
    <sheet name="11.0" sheetId="5" r:id="rId4"/>
    <sheet name="13.0 " sheetId="10" r:id="rId5"/>
    <sheet name="14.0" sheetId="7" r:id="rId6"/>
    <sheet name="13.0(TB)" sheetId="11" r:id="rId7"/>
  </sheets>
  <definedNames>
    <definedName name="AIR">'14.0'!$A$1:$E$18</definedName>
    <definedName name="AirtightnessEEMs">#REF!</definedName>
    <definedName name="CDM">'10.0'!$A$1:$I$23</definedName>
    <definedName name="Design" localSheetId="5">#REF!</definedName>
    <definedName name="Design">#REF!</definedName>
    <definedName name="eco" localSheetId="2">#REF!</definedName>
    <definedName name="eco" localSheetId="5">#REF!</definedName>
    <definedName name="eco" localSheetId="1">'7.0'!#REF!</definedName>
    <definedName name="eco">'4.0'!$A$1</definedName>
    <definedName name="ExVentilation" localSheetId="2">#REF!</definedName>
    <definedName name="ExVentilation" localSheetId="5">#REF!</definedName>
    <definedName name="ExVentilation">'11.0'!$A$1:$H$11</definedName>
    <definedName name="Measures" localSheetId="5">'14.0'!$A$1:$C$17</definedName>
    <definedName name="Measures">'7.0'!$A$1:$H$26</definedName>
    <definedName name="MTIP">#REF!</definedName>
    <definedName name="overview4">'4.0'!$A$2:$H$25</definedName>
    <definedName name="PAS" localSheetId="5">#REF!</definedName>
    <definedName name="PAS">#REF!</definedName>
    <definedName name="Personnel" localSheetId="5">#REF!</definedName>
    <definedName name="Personnel">#REF!</definedName>
    <definedName name="Property_Overview" localSheetId="2">#REF!</definedName>
    <definedName name="Property_Overview" localSheetId="5">#REF!</definedName>
    <definedName name="Property_Overview" localSheetId="1">'7.0'!#REF!</definedName>
    <definedName name="Property_Overview">'4.0'!$A$2:$E$28</definedName>
    <definedName name="PropVentilation" localSheetId="5">#REF!</definedName>
    <definedName name="PropVentilation">#REF!</definedName>
    <definedName name="vENT">'11.0'!$A$1:$R$14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2" l="1" a="1"/>
  <c r="G26" i="2" s="1"/>
  <c r="H26" i="2" s="1"/>
  <c r="D2" i="2" a="1"/>
  <c r="D2" i="2" s="1"/>
  <c r="D4" i="2" a="1"/>
  <c r="D4" i="2" s="1"/>
  <c r="B23" i="1"/>
  <c r="H6" i="1" a="1"/>
  <c r="H6" i="1" s="1"/>
  <c r="A22" i="2"/>
  <c r="D5" i="8"/>
  <c r="D18" i="8"/>
  <c r="D16" i="8"/>
  <c r="D15" i="8"/>
  <c r="D13" i="8"/>
  <c r="D10" i="8"/>
  <c r="D11" i="8"/>
  <c r="D9" i="8"/>
  <c r="A13" i="2" a="1"/>
  <c r="A21" i="2" a="1"/>
  <c r="A19" i="2" a="1"/>
  <c r="A2" i="2" a="1"/>
  <c r="A9" i="2" a="1"/>
  <c r="A7" i="2" a="1"/>
  <c r="A11" i="2" a="1"/>
  <c r="A3" i="2" a="1"/>
  <c r="A20" i="2" a="1"/>
  <c r="A5" i="2" a="1"/>
  <c r="A4" i="2" a="1"/>
  <c r="A10" i="2" a="1"/>
  <c r="A18" i="2" a="1"/>
  <c r="A14" i="2" a="1"/>
  <c r="A17" i="2" a="1"/>
  <c r="A6" i="2" a="1"/>
  <c r="A12" i="2" a="1"/>
  <c r="A8" i="2" a="1"/>
  <c r="A10" i="2" l="1"/>
  <c r="A9" i="2"/>
  <c r="A8" i="2"/>
  <c r="A13" i="2"/>
  <c r="A12" i="2"/>
  <c r="A7" i="2"/>
  <c r="A6" i="2"/>
  <c r="B13" i="7" s="1"/>
  <c r="A5" i="2"/>
  <c r="A17" i="2"/>
  <c r="A2" i="2"/>
  <c r="A3" i="2"/>
  <c r="B11" i="7" s="1"/>
  <c r="A4" i="2"/>
  <c r="A21" i="2"/>
  <c r="A14" i="2"/>
  <c r="A20" i="2"/>
  <c r="A19" i="2"/>
  <c r="A18" i="2"/>
  <c r="A11" i="2"/>
  <c r="B15" i="7" s="1"/>
  <c r="B18" i="7" l="1"/>
  <c r="B17" i="7"/>
  <c r="B16" i="7"/>
  <c r="B14" i="7"/>
  <c r="B1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<sst xmlns="http://schemas.openxmlformats.org/spreadsheetml/2006/main" count="361" uniqueCount="284">
  <si>
    <t xml:space="preserve"> Property Overview</t>
  </si>
  <si>
    <t>Existing SAP Data</t>
  </si>
  <si>
    <t>Dwelling Design</t>
  </si>
  <si>
    <t>Property Address</t>
  </si>
  <si>
    <t xml:space="preserve">EPC Rating </t>
  </si>
  <si>
    <t>Has a "Fabric First" approach being adopted in accordance with clause 4 &amp; 5 of PAS2035 ?</t>
  </si>
  <si>
    <t>Yes</t>
  </si>
  <si>
    <t>Property Reference</t>
  </si>
  <si>
    <t>Floor Area (Box 4)</t>
  </si>
  <si>
    <t>Is a fabric measure being installed ?</t>
  </si>
  <si>
    <t>Local authority</t>
  </si>
  <si>
    <t>Heat transfer coeff.(Box 39)</t>
  </si>
  <si>
    <t>Does the ventilation require upgrading?(if so , see ventilation design)</t>
  </si>
  <si>
    <t>EPC Score ( Rd SAP)</t>
  </si>
  <si>
    <t>Space Heating (Box 99)</t>
  </si>
  <si>
    <t>Is the building protected / Traditional and the design consistent with BS7913?</t>
  </si>
  <si>
    <t>No</t>
  </si>
  <si>
    <t>Tenure</t>
  </si>
  <si>
    <t>Does the installation of the measures need to comply with the guidance in BS 5250?</t>
  </si>
  <si>
    <t>Remedials -damp &amp; mould present?</t>
  </si>
  <si>
    <t>Proposed SAP Data</t>
  </si>
  <si>
    <t>Does the design provide resilience against flooding ?</t>
  </si>
  <si>
    <t>Retrofit assessment has been carried out?</t>
  </si>
  <si>
    <t>Does the design provide resilience against Water ingress (both internal and external)</t>
  </si>
  <si>
    <t>Planning Application Ref</t>
  </si>
  <si>
    <t>Does the design affect fire strategy?</t>
  </si>
  <si>
    <t>TBC</t>
  </si>
  <si>
    <t>Planning Notes</t>
  </si>
  <si>
    <t>Is a new fire strategy required?</t>
  </si>
  <si>
    <t xml:space="preserve">Building Regulation Application Ref </t>
  </si>
  <si>
    <t>Are "Toolbox Talks" required for any special consideration</t>
  </si>
  <si>
    <t>Building Regulation Notes</t>
  </si>
  <si>
    <t>NetZero EPC Rating</t>
  </si>
  <si>
    <t>TBC by Retrofit coordinator</t>
  </si>
  <si>
    <t>Age of Property</t>
  </si>
  <si>
    <t>Fabric specific Measures</t>
  </si>
  <si>
    <t>Construction Type</t>
  </si>
  <si>
    <t>Potential Climate Risks</t>
  </si>
  <si>
    <t>Are thermal bypasses considered and eliminated ?</t>
  </si>
  <si>
    <t>Typology</t>
  </si>
  <si>
    <t>Radon Risk</t>
  </si>
  <si>
    <t>Have approved construction details been utilised ?</t>
  </si>
  <si>
    <t>Stories</t>
  </si>
  <si>
    <t>Flood Risk</t>
  </si>
  <si>
    <t>If bespoke details have been used. Is the temperature factor (fRsi) of each detail not less than 0.75?</t>
  </si>
  <si>
    <t>N/A</t>
  </si>
  <si>
    <t>Number of Bedrooms</t>
  </si>
  <si>
    <t>Subsidence 2030</t>
  </si>
  <si>
    <t>Have thermal bridge calculations been undertaken as part of the retrofit designs?</t>
  </si>
  <si>
    <t xml:space="preserve">Site Exposure Level </t>
  </si>
  <si>
    <t>Subsidence 2070</t>
  </si>
  <si>
    <t>Traditional Building</t>
  </si>
  <si>
    <t>Wind Driven Rain Risk</t>
  </si>
  <si>
    <t>Overheating</t>
  </si>
  <si>
    <t>Conservation Area</t>
  </si>
  <si>
    <t>Rainfall Risk</t>
  </si>
  <si>
    <t>Has overheating been considered as the part of Designs?</t>
  </si>
  <si>
    <t>Overheating has been considered. Ventilation to comply with Building Regulations Part F &amp; Q</t>
  </si>
  <si>
    <t>Listed Building</t>
  </si>
  <si>
    <t>Wind Speed Risk</t>
  </si>
  <si>
    <t>TPOs</t>
  </si>
  <si>
    <t>Wildfire Risk</t>
  </si>
  <si>
    <t>Access Constraints</t>
  </si>
  <si>
    <t>Vulnerable tenant present?</t>
  </si>
  <si>
    <t>Measure Included?</t>
  </si>
  <si>
    <t>Drawing Key:</t>
  </si>
  <si>
    <t>Proposed Fabric First Measures Specification</t>
  </si>
  <si>
    <t>Installation Sequence</t>
  </si>
  <si>
    <t>Category of Measure</t>
  </si>
  <si>
    <t>Trickle Vents</t>
  </si>
  <si>
    <t>TV</t>
  </si>
  <si>
    <t>Minor</t>
  </si>
  <si>
    <t>dMEV</t>
  </si>
  <si>
    <t>Door undercuts</t>
  </si>
  <si>
    <t>DRU</t>
  </si>
  <si>
    <t>Loft Insulation:</t>
  </si>
  <si>
    <t>LI</t>
  </si>
  <si>
    <t>Cavity Wall Insulation:</t>
  </si>
  <si>
    <t>CWI</t>
  </si>
  <si>
    <t>External Wall Insulation</t>
  </si>
  <si>
    <t>EWI</t>
  </si>
  <si>
    <t>Major</t>
  </si>
  <si>
    <t>Internal Wall Insulation:</t>
  </si>
  <si>
    <t>IWI</t>
  </si>
  <si>
    <t>Under Floor Insulation:</t>
  </si>
  <si>
    <t>UFI</t>
  </si>
  <si>
    <t>Flat Roof Insulation:</t>
  </si>
  <si>
    <t>FRI</t>
  </si>
  <si>
    <t>Room-In-Roof Insulation:</t>
  </si>
  <si>
    <t>RIR</t>
  </si>
  <si>
    <t>Windows:</t>
  </si>
  <si>
    <t>WNDW</t>
  </si>
  <si>
    <t>Doors:</t>
  </si>
  <si>
    <t>DR</t>
  </si>
  <si>
    <t>Other please specify:</t>
  </si>
  <si>
    <t>Proposed Renewables  Specification</t>
  </si>
  <si>
    <t>Boiler/FTCH:</t>
  </si>
  <si>
    <t>BLR/FTCH</t>
  </si>
  <si>
    <t>ESH:</t>
  </si>
  <si>
    <t>ESH</t>
  </si>
  <si>
    <t>ASHP:</t>
  </si>
  <si>
    <t>ASHP</t>
  </si>
  <si>
    <t>GSHP:</t>
  </si>
  <si>
    <t>GSHP</t>
  </si>
  <si>
    <t>Solar Thermal:</t>
  </si>
  <si>
    <t>ST</t>
  </si>
  <si>
    <t>Solar PV:</t>
  </si>
  <si>
    <t>SPV</t>
  </si>
  <si>
    <t>Solar PV: Property Orientation</t>
  </si>
  <si>
    <t>Solar PV:  Over - Shading</t>
  </si>
  <si>
    <t>None or little</t>
  </si>
  <si>
    <t>Number of Minor/Major measures:</t>
  </si>
  <si>
    <t>Result</t>
  </si>
  <si>
    <t>HAZARD IDENTIFICATION AND MANAGEMENT CHECKLIST</t>
  </si>
  <si>
    <t xml:space="preserve">PROJECT: </t>
  </si>
  <si>
    <t>RIBA WORKSTAGE:</t>
  </si>
  <si>
    <t>Stage 5</t>
  </si>
  <si>
    <t>REF:</t>
  </si>
  <si>
    <t>1069/CDM</t>
  </si>
  <si>
    <t>This Checklist is a summary of residual hazards identified to date and the actions required to manage them. It is maintained in accordance with the Construction (Design and Management) Regulations 2015 and reflects the duties of the Client, Principal Designer, Principal Contractor and other dutyholders.
In line with the Building Safety Act 2022, this document contributes to the project’s safety management processes and the creation of a clear audit trail (“golden thread”) of design and construction risk decisions. Where relevant, hazards and control measures are linked to Building Safety Act gateway requirements and regulatory expectations. Appropriate action needed to manage the identified risks. The objective is to assist, focus and eliminate or mitigate wherever possible the identified risks and to record the agreed actions to be taken.</t>
  </si>
  <si>
    <t>REVISIONS:</t>
  </si>
  <si>
    <t xml:space="preserve"> rev A</t>
  </si>
  <si>
    <t xml:space="preserve">DATE: </t>
  </si>
  <si>
    <t>Hazard Number</t>
  </si>
  <si>
    <t>Package/ Building Element</t>
  </si>
  <si>
    <t>Hazard (the potential to cause harm)</t>
  </si>
  <si>
    <t>Date Issue Raised
[Originator]</t>
  </si>
  <si>
    <t>Measures Taken to Eliminate
/Minimise Risk</t>
  </si>
  <si>
    <t>Owner : CDM dutyholders Client / PD / PC / Designers / SubContractors</t>
  </si>
  <si>
    <t>Status 
Open/
Closed/
Residual</t>
  </si>
  <si>
    <t>Date Issue Closed
[Actioner]</t>
  </si>
  <si>
    <t>Critical H &amp; S Design Assumptions / Information Required or Provided /Outline of Controls by Others/Record of Golden Thread of Information in line with BSA</t>
  </si>
  <si>
    <t xml:space="preserve">Site </t>
  </si>
  <si>
    <t>Noise &amp; Vibration - Excessive noise generated by plant and construction activities causing a nuisance to adjacent users and occupiers.</t>
  </si>
  <si>
    <t>PD/PC</t>
  </si>
  <si>
    <t>Open</t>
  </si>
  <si>
    <t>Local Authority Guidelines to be incorporated into the Preconstruction Information. Main contractor to plan and advise on potential for nuisance due to noise and vibration.</t>
  </si>
  <si>
    <t xml:space="preserve">Working on occupied site- Site setup arrangements to vary according to phase </t>
  </si>
  <si>
    <t>Ongoing liaison. Principal Contractor to develop and agree setup with the residents and with representatives of the Client.</t>
  </si>
  <si>
    <t>Interface &amp; Third Party - Accidents involving vehicles accessing and egressing site.</t>
  </si>
  <si>
    <t>PC to plan and advise on potential for nuisance due to noise and vibration to ocuppants and neighbours occupants, and any risk to other third party users. Use of banksman stipulated in PCI.</t>
  </si>
  <si>
    <t xml:space="preserve"> Construction Phase Plan. </t>
  </si>
  <si>
    <t>2</t>
  </si>
  <si>
    <t>Building As Existing</t>
  </si>
  <si>
    <t xml:space="preserve">Hazardous Substances - </t>
  </si>
  <si>
    <t xml:space="preserve">Asbestos management survey </t>
  </si>
  <si>
    <t>Client/PD/PC</t>
  </si>
  <si>
    <t>Standard contaminants are to be tested for. R&amp;D Asbestos survey to be carried out ahead of intrusive survey and works progressing.  Contractors and subcontractors to maintain a watching brief for hazardous substances during all construction activities.</t>
  </si>
  <si>
    <t>3</t>
  </si>
  <si>
    <t>Main Structure</t>
  </si>
  <si>
    <t>Structural risks - Weak or degraded structural elements that might fail during retrofit.</t>
  </si>
  <si>
    <t>Scheme design limits additional loading onto existing structure, and avoids modifying existing structure. Scheme design limits additional loading; structural assessments undertaken by Principal Designer; method statements to be produced by Principal Contractor.</t>
  </si>
  <si>
    <t>Architect to be made aware of any degraded material in existing main structural frame, once existing cladding is removed.  Method statements to be produced for unforeseen work to structure to ensure stability of structure is not compromised, and structural stability of changes to be verified by Building Control</t>
  </si>
  <si>
    <t>Impact of added loads or modifications on the building’s integrity.</t>
  </si>
  <si>
    <t>Method statements to be Pull out tests to be undertaken by EWI installer</t>
  </si>
  <si>
    <t>4</t>
  </si>
  <si>
    <t>General Maintenance</t>
  </si>
  <si>
    <t>Fall From Height - Falling from repairing / maintaining the roof mounted PV panels</t>
  </si>
  <si>
    <t xml:space="preserve">Installations to be designed by MCS installer taking future Client access requirements into account. Work to be carried out from the ground where possible. Means of protection adequate to the duration and frequency of the task to be provided. </t>
  </si>
  <si>
    <t>Signoff</t>
  </si>
  <si>
    <t>Designer:</t>
  </si>
  <si>
    <t>Director:</t>
  </si>
  <si>
    <t>Principal designer:</t>
  </si>
  <si>
    <t>Additional Notes:</t>
  </si>
  <si>
    <t>Date:</t>
  </si>
  <si>
    <t>Signature:</t>
  </si>
  <si>
    <t xml:space="preserve"> Existing Dwelling Ventilation</t>
  </si>
  <si>
    <t>Proposed Dwelling Ventilation</t>
  </si>
  <si>
    <t>Room</t>
  </si>
  <si>
    <t>Mould</t>
  </si>
  <si>
    <t>Background Ventilation (target mm2)</t>
  </si>
  <si>
    <t>Background Ventilation trickle vents (actual mm2)</t>
  </si>
  <si>
    <t>Door Undercuts (min 7600m3)</t>
  </si>
  <si>
    <t>Purge Ventilation</t>
  </si>
  <si>
    <t>Extract Ventilation Type</t>
  </si>
  <si>
    <t>Flow Rate (l/s)</t>
  </si>
  <si>
    <t>Target</t>
  </si>
  <si>
    <t>Actual</t>
  </si>
  <si>
    <t>Kitchen</t>
  </si>
  <si>
    <t>Bathroom</t>
  </si>
  <si>
    <t>None</t>
  </si>
  <si>
    <t>Bedroom 1</t>
  </si>
  <si>
    <t>Bedroom 2</t>
  </si>
  <si>
    <t>Additional</t>
  </si>
  <si>
    <t>Total</t>
  </si>
  <si>
    <t>Whole building ventilation rate (l/s) - floor area (m2)</t>
  </si>
  <si>
    <t>Whole building ventilation rate (l/s) - bedrooms</t>
  </si>
  <si>
    <t>Whole building ventilation rate - additional occupancy</t>
  </si>
  <si>
    <t>Whole building ventilation rate - final</t>
  </si>
  <si>
    <t xml:space="preserve">Retention of IEV fans subject to flow rate test </t>
  </si>
  <si>
    <t>Testing Completion and Hand over</t>
  </si>
  <si>
    <t>Note: The extract rates are stated as minimum-allow additional extract as required to achieve Part F compliant Whole house rate</t>
  </si>
  <si>
    <t xml:space="preserve">The ventilation remedial works will be under taken by a competent person. They will be tested and  commissioned once all other retrofit works have been completed in line with the requirement of PAS2035.								</t>
  </si>
  <si>
    <t>Future proofing - MTIP Renewables proposals</t>
  </si>
  <si>
    <t xml:space="preserve">Solar system - refer to drawing pack for location. To be designed in accordance with the MIS3002 Solar PV Standard &amp; 18th edition wiring regulations															
PVs: 435 W Tiger Neo Modules, exact design and number subject to confirmation by installer based on available area on specific house type, orientation and overshadowing factors															
Inverter: Solis Energy Storage 3.6 kw hybrid 5G inverter with a DC Switch connected to new AC4 pole rotary isolator															
Storage: Battery Solax 5.8 KW Battery storage															
Inverter and battery to be co-located in a proprietory GRP enclosure as shown on drawings. Wiring ub 4 mm single DC cabling between inverter and PV array within galvanised trunking concealed within new EWI system via MC4 connectors, clearly labelled. Refer to detail pack. All design, installation, comissioning and certification by MCS registered installer.															
Car charging: - refer to drawing pack for location. To be designed in accordance with the MIS3002 Solar PV Standard &amp; 18th edition wiring regulations 															
Zaptec Go 7.4 kW single phase wall mounted car charger - location as drawing															
All design, installation, comissioning and certification by MCS registered installer.	
Heating system-refer to drawing pack for locations. To be designed and installed in compliance with MCS, Water and 18th edition regulations.															
Air to water heat pump to replace existing gas boiler:5KW Vaillant Air source heat pump installed on Flexifoot system to reduce noise transfer,location as shown on drawing, min 300 mm off the rear wall. 															
New 210 ltr Mixergy Xc-direct unvented cylinder w 3kW immersion to be sited as drawing															
Vailant Sensocomfort RF Wireless programmable room thermostat. Magnetid filter and strainer valves to protect equipment. All design, insstallation, comissioning and certification by MCS Installer															
Note: Measures subject to planning and DNO approval, Existing gas supply disconnection by statutory undertaker.															
Lagging of pipework: All external pipework to be insulated with 19 mm high density PVC coated insulation, internal pipework in 13 mm grey pipework insulation without gaps															
Radiators: Existing radiators and pipework to be reused where possible in accordance with below shedule, subject to installers detailed site assessment. All existing radiators fitted with TRV controls. New pipework, LTHW radiators and thermostats as noted on plans.															</t>
  </si>
  <si>
    <t>Radiator Schedule</t>
  </si>
  <si>
    <t>Radiator</t>
  </si>
  <si>
    <t>Height</t>
  </si>
  <si>
    <t>width</t>
  </si>
  <si>
    <t>BTU output required</t>
  </si>
  <si>
    <t xml:space="preserve">Existing </t>
  </si>
  <si>
    <t>added</t>
  </si>
  <si>
    <t>Living</t>
  </si>
  <si>
    <t>Airtightness Strategy Overview</t>
  </si>
  <si>
    <t>Stage</t>
  </si>
  <si>
    <t>Process</t>
  </si>
  <si>
    <t>Evidence/Documentation</t>
  </si>
  <si>
    <t>Responsible Party</t>
  </si>
  <si>
    <t>Methodology</t>
  </si>
  <si>
    <t>1. Pre-Installation Testing</t>
  </si>
  <si>
    <t>Blower Door Test  Target of ≤5 m³/h/m²@50Pa</t>
  </si>
  <si>
    <t>Test reports, pre-install photos</t>
  </si>
  <si>
    <t>Tester/Assessor</t>
  </si>
  <si>
    <t>By Archetype</t>
  </si>
  <si>
    <t>2. Airtightness Design</t>
  </si>
  <si>
    <t>Document airtight barrier design and sequence of EEMs with key sealant areas</t>
  </si>
  <si>
    <t>Design detail pack with airtightness specified, material specs</t>
  </si>
  <si>
    <t>Designer/Coordinator</t>
  </si>
  <si>
    <t>By Property</t>
  </si>
  <si>
    <t>3. Airtightness Installation</t>
  </si>
  <si>
    <t>Sequence of installation ensuring specified sealing methods for junctions and penetrations are carried out.</t>
  </si>
  <si>
    <t>Installation photos, QA checklist</t>
  </si>
  <si>
    <t>Contractor</t>
  </si>
  <si>
    <t>4. Mid-Installation Spot Check</t>
  </si>
  <si>
    <t>Check seals, joints, and membranes. Leakage Check (high-risk areas)</t>
  </si>
  <si>
    <t>Retrofit Coordinator</t>
  </si>
  <si>
    <t>5. Post-Installation Testing</t>
  </si>
  <si>
    <t>Final Blower Door Test  Target of ≤5 m³/h/m²@50Pa</t>
  </si>
  <si>
    <t>Test results, rectification photos, maintenance guide</t>
  </si>
  <si>
    <t>Tester/Coordinator</t>
  </si>
  <si>
    <t>6. Maintenance Guidance</t>
  </si>
  <si>
    <t>Documentation provided to homeowners</t>
  </si>
  <si>
    <t>Included in O&amp;M Manual</t>
  </si>
  <si>
    <t>Installation Element</t>
  </si>
  <si>
    <t>Revevant to design?</t>
  </si>
  <si>
    <t>Airtightness Strategy</t>
  </si>
  <si>
    <t>Ventilation Systems (MEV) As Specified on DS-CM-2.6</t>
  </si>
  <si>
    <t>Seal ducting at joints and at entry/exit points to prevent air leakage. Ensure systems are airtight and adequately ventilated.</t>
  </si>
  <si>
    <t>As per Blue dash line annotations in the relevant design detail; Photographic evidence of install as per details; Air test results.</t>
  </si>
  <si>
    <t>Loft Insulation</t>
  </si>
  <si>
    <t>Seal loft hatches, gaps around beams with airtight membranes and tapes</t>
  </si>
  <si>
    <t>Cavity Wall Insulation (CWI)</t>
  </si>
  <si>
    <t>Seal around wall ties and penetrations; ensure continuity of barrier</t>
  </si>
  <si>
    <t>External Wall Insulation (EWI)</t>
  </si>
  <si>
    <t>Ensure continuous airtight layer across external walls; seal penetrations</t>
  </si>
  <si>
    <t>Internal/Room-in-Roof Insulation (IWI/RIRI)</t>
  </si>
  <si>
    <t>Seal internal junctions; apply airtight membranes around openings</t>
  </si>
  <si>
    <t>Underfloor Insulation (UFI)</t>
  </si>
  <si>
    <t>Seal floor junctions, use airtight tapes at penetrations</t>
  </si>
  <si>
    <t>Flat Roof Insulation</t>
  </si>
  <si>
    <t>Apply airtight barriers over insulation, seal junctions thoroughly</t>
  </si>
  <si>
    <t>Windows/Doors</t>
  </si>
  <si>
    <t>Install airtight seals around frames; ensure threshold sealing</t>
  </si>
  <si>
    <t>Heritage Significance Assessment</t>
  </si>
  <si>
    <t>Section</t>
  </si>
  <si>
    <t>Required Information (PAS 2035 / BS 7913)</t>
  </si>
  <si>
    <t>Assessment Notes</t>
  </si>
  <si>
    <t>Building Type</t>
  </si>
  <si>
    <t>Construction era, traditional/modern classification</t>
  </si>
  <si>
    <t>Traditional/ Solid wall</t>
  </si>
  <si>
    <t>Historic Status</t>
  </si>
  <si>
    <t>Listed status, conservation area, local heritage value</t>
  </si>
  <si>
    <t>Architectural Significance</t>
  </si>
  <si>
    <t>Style, materials, design merits, unique features</t>
  </si>
  <si>
    <t xml:space="preserve">Traditional brick built render faced two storey semi-detached house with a pitched and tile covered roof, </t>
  </si>
  <si>
    <t>Historic Significance</t>
  </si>
  <si>
    <t>Age, historical events, social value</t>
  </si>
  <si>
    <t xml:space="preserve">Built in </t>
  </si>
  <si>
    <t>Fabric Condition</t>
  </si>
  <si>
    <t>Condition of walls, roof, floors, windows, moisture behaviour</t>
  </si>
  <si>
    <t>Risk Factors</t>
  </si>
  <si>
    <t>Moisture, decay, ventilation issues, past inappropriate works</t>
  </si>
  <si>
    <t>No current risks noted</t>
  </si>
  <si>
    <t>Significance Grading</t>
  </si>
  <si>
    <t>Low / Medium / High, with justification</t>
  </si>
  <si>
    <t xml:space="preserve">Low </t>
  </si>
  <si>
    <t>Constraints</t>
  </si>
  <si>
    <t>Any conservation constraints affecting retrofit measures</t>
  </si>
  <si>
    <t>Recommended Approaches</t>
  </si>
  <si>
    <t>Principles: minimal intervention, reversibility, breathability</t>
  </si>
  <si>
    <t>Breathable materials recommented</t>
  </si>
  <si>
    <t>Retrofit Implications</t>
  </si>
  <si>
    <t>Impact on insulation, airtightness, ventilation, services</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</si>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</sst>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14009]d\.m\.yy;@"/>
    <numFmt numFmtId="166" formatCode="[$-14009]dddd\,\ d\ mmmm\,\ yyyy;@"/>
  </numFmts>
  <fonts count="20" x14ac:knownFonts="1">
    <font>
      <sz val="11"/>
      <color rgb="FF000000"/>
      <name val="aptos narrow"/>
      <scheme val="minor"/>
    </font>
    <font>
      <sz val="11"/>
      <color theme="1"/>
      <name val="aptos narrow"/>
      <family val="2"/>
      <scheme val="minor"/>
    </font>
    <font>
      <sz val="11"/>
      <color rgb="FF000000"/>
      <name val="aptos narrow"/>
      <family val="2"/>
      <scheme val="minor"/>
    </font>
    <font>
      <sz val="11"/>
      <color rgb="FF000000"/>
      <name val="aptos narrow"/>
      <family val="2"/>
      <scheme val="minor"/>
    </font>
    <font>
      <sz val="7.5"/>
      <color rgb="FF000000"/>
      <name val="Verdana"/>
      <family val="2"/>
    </font>
    <font>
      <sz val="7.5"/>
      <color rgb="FFFFFFFF"/>
      <name val="Verdana"/>
      <family val="2"/>
    </font>
    <font>
      <sz val="7.5"/>
      <color rgb="FF0C273A"/>
      <name val="Verdana"/>
      <family val="2"/>
    </font>
    <font>
      <sz val="7.5"/>
      <color rgb="FF0E2841"/>
      <name val="Verdana"/>
      <family val="2"/>
    </font>
    <font>
      <sz val="7.5"/>
      <name val="Verdana"/>
      <family val="2"/>
    </font>
    <font>
      <b/>
      <sz val="7.5"/>
      <color theme="0"/>
      <name val="Verdana"/>
      <family val="2"/>
    </font>
    <font>
      <sz val="7.5"/>
      <color theme="0"/>
      <name val="Verdana"/>
      <family val="2"/>
    </font>
    <font>
      <i/>
      <sz val="7.5"/>
      <name val="Verdana"/>
      <family val="2"/>
    </font>
    <font>
      <sz val="7.5"/>
      <color theme="3" tint="0.499984740745262"/>
      <name val="Verdana"/>
      <family val="2"/>
    </font>
    <font>
      <sz val="7.5"/>
      <color theme="1"/>
      <name val="Verdana"/>
      <family val="2"/>
    </font>
    <font>
      <sz val="8"/>
      <color rgb="FF0C273A"/>
      <name val="Calibri"/>
      <family val="2"/>
    </font>
    <font>
      <sz val="8"/>
      <color rgb="FF000000"/>
      <name val="Calibri"/>
      <family val="2"/>
    </font>
    <font>
      <sz val="8"/>
      <color rgb="FF000000"/>
      <name val="aptos narrow"/>
      <family val="2"/>
      <scheme val="minor"/>
    </font>
    <font>
      <sz val="9"/>
      <color rgb="FF0C273A"/>
      <name val="Calibri"/>
      <family val="2"/>
    </font>
    <font>
      <sz val="9"/>
      <color rgb="FF0C273A"/>
      <name val="Verdana"/>
      <family val="2"/>
    </font>
    <font>
      <sz val="9"/>
      <color rgb="FF000000"/>
      <name val="Verdana"/>
      <family val="2"/>
    </font>
  </fonts>
  <fills count="17">
    <fill>
      <patternFill patternType="none"/>
    </fill>
    <fill>
      <patternFill patternType="gray125"/>
    </fill>
    <fill>
      <patternFill patternType="solid">
        <fgColor rgb="FF5D73AC"/>
        <bgColor rgb="FF5D73AC"/>
      </patternFill>
    </fill>
    <fill>
      <patternFill patternType="solid">
        <fgColor rgb="FF9AB6A8"/>
        <bgColor rgb="FF9AB6A8"/>
      </patternFill>
    </fill>
    <fill>
      <patternFill patternType="solid">
        <fgColor rgb="FFD2E5DE"/>
        <bgColor rgb="FFD2E5DE"/>
      </patternFill>
    </fill>
    <fill>
      <patternFill patternType="solid">
        <fgColor rgb="FFFFFFFF"/>
        <bgColor rgb="FFFFFFFF"/>
      </patternFill>
    </fill>
    <fill>
      <patternFill patternType="solid">
        <fgColor theme="0"/>
        <bgColor theme="0"/>
      </patternFill>
    </fill>
    <fill>
      <patternFill patternType="solid">
        <fgColor rgb="FFD9D9D9"/>
        <bgColor rgb="FFD9D9D9"/>
      </patternFill>
    </fill>
    <fill>
      <patternFill patternType="solid">
        <fgColor rgb="FFD2E5DE"/>
        <bgColor indexed="64"/>
      </patternFill>
    </fill>
    <fill>
      <patternFill patternType="solid">
        <fgColor rgb="FF5D73AC"/>
        <bgColor indexed="64"/>
      </patternFill>
    </fill>
    <fill>
      <patternFill patternType="solid">
        <fgColor rgb="FF9AB6A8"/>
        <bgColor rgb="FFD2E5DE"/>
      </patternFill>
    </fill>
    <fill>
      <patternFill patternType="solid">
        <fgColor rgb="FF9AB6A8"/>
        <bgColor indexed="64"/>
      </patternFill>
    </fill>
    <fill>
      <patternFill patternType="solid">
        <fgColor rgb="FF9AB6A8"/>
        <bgColor rgb="FFBAD1DF"/>
      </patternFill>
    </fill>
    <fill>
      <patternFill patternType="solid">
        <fgColor rgb="FFD2E5DE"/>
        <bgColor rgb="FFBAD1DF"/>
      </patternFill>
    </fill>
    <fill>
      <patternFill patternType="solid">
        <fgColor rgb="FFD2E5DE"/>
        <bgColor rgb="FF92D050"/>
      </patternFill>
    </fill>
    <fill>
      <patternFill patternType="solid">
        <fgColor theme="0"/>
        <bgColor indexed="64"/>
      </patternFill>
    </fill>
    <fill>
      <patternFill patternType="solid">
        <fgColor rgb="FFD2E5DE"/>
        <bgColor rgb="FF000000"/>
      </patternFill>
    </fill>
  </fills>
  <borders count="26">
    <border>
      <left/>
      <right/>
      <top/>
      <bottom/>
      <diagonal/>
    </border>
    <border>
      <left/>
      <right/>
      <top/>
      <bottom/>
      <diagonal/>
    </border>
    <border>
      <left style="thin">
        <color theme="2"/>
      </left>
      <right style="thin">
        <color theme="2"/>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bottom style="thin">
        <color theme="2"/>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1"/>
    <xf numFmtId="0" fontId="2" fillId="0" borderId="1"/>
    <xf numFmtId="0" fontId="3" fillId="0" borderId="1"/>
    <xf numFmtId="0" fontId="1" fillId="0" borderId="1"/>
  </cellStyleXfs>
  <cellXfs count="168">
    <xf numFmtId="0" fontId="0" fillId="0" borderId="0" xfId="0" applyBorder="1"/>
    <xf numFmtId="0" fontId="4" fillId="0" borderId="1" xfId="0" applyFont="1" applyAlignment="1">
      <alignment horizontal="center" vertical="center" wrapText="1"/>
    </xf>
    <xf numFmtId="0" fontId="4" fillId="0" borderId="1" xfId="0" applyFont="1" applyAlignment="1">
      <alignment horizontal="right" vertical="center" wrapText="1"/>
    </xf>
    <xf numFmtId="0" fontId="4" fillId="0" borderId="1" xfId="0" applyFont="1"/>
    <xf numFmtId="0" fontId="6" fillId="5" borderId="1" xfId="0" applyFont="1" applyFill="1" applyAlignment="1">
      <alignment horizontal="center" vertical="center" wrapText="1"/>
    </xf>
    <xf numFmtId="0" fontId="4" fillId="0" borderId="1" xfId="0" applyFont="1" applyAlignment="1">
      <alignment horizontal="left" vertical="center" wrapText="1"/>
    </xf>
    <xf numFmtId="49" fontId="6" fillId="0" borderId="1" xfId="0" applyNumberFormat="1" applyFont="1" applyAlignment="1">
      <alignment vertical="center" wrapText="1"/>
    </xf>
    <xf numFmtId="0" fontId="4" fillId="0" borderId="1" xfId="0" applyFont="1" applyAlignment="1">
      <alignment vertical="center" wrapText="1"/>
    </xf>
    <xf numFmtId="0" fontId="8" fillId="0" borderId="1" xfId="0" applyFont="1" applyAlignment="1">
      <alignment horizontal="right"/>
    </xf>
    <xf numFmtId="0" fontId="8" fillId="0" borderId="1" xfId="0" applyFont="1"/>
    <xf numFmtId="0" fontId="4" fillId="0" borderId="1" xfId="0" applyFont="1" applyAlignment="1">
      <alignment wrapText="1"/>
    </xf>
    <xf numFmtId="0" fontId="4" fillId="0" borderId="2" xfId="0" applyFont="1" applyBorder="1" applyAlignment="1">
      <alignment horizontal="center" vertical="center" wrapText="1"/>
    </xf>
    <xf numFmtId="0" fontId="4" fillId="0" borderId="0" xfId="0" applyFont="1" applyBorder="1"/>
    <xf numFmtId="0" fontId="4" fillId="0" borderId="4" xfId="0" applyFont="1" applyBorder="1" applyAlignment="1">
      <alignment horizontal="center" vertical="center" wrapText="1"/>
    </xf>
    <xf numFmtId="49" fontId="6" fillId="6" borderId="2" xfId="0" applyNumberFormat="1" applyFont="1" applyFill="1" applyBorder="1" applyAlignment="1">
      <alignment horizontal="left" vertical="center" wrapText="1"/>
    </xf>
    <xf numFmtId="0" fontId="6" fillId="6" borderId="2" xfId="0" applyFont="1" applyFill="1" applyBorder="1" applyAlignment="1">
      <alignment horizontal="center" vertical="center" wrapText="1"/>
    </xf>
    <xf numFmtId="0" fontId="4" fillId="15" borderId="1" xfId="0" applyFont="1" applyFill="1"/>
    <xf numFmtId="0" fontId="4" fillId="0" borderId="7" xfId="0" applyFont="1" applyBorder="1"/>
    <xf numFmtId="0" fontId="4" fillId="0" borderId="5" xfId="0" applyFont="1" applyBorder="1"/>
    <xf numFmtId="0" fontId="4" fillId="0" borderId="1" xfId="1" applyFont="1"/>
    <xf numFmtId="0" fontId="8" fillId="0" borderId="1" xfId="1" applyFont="1"/>
    <xf numFmtId="0" fontId="4" fillId="0" borderId="1" xfId="1" applyFont="1" applyAlignment="1">
      <alignment wrapText="1"/>
    </xf>
    <xf numFmtId="0" fontId="4" fillId="0" borderId="1" xfId="1" applyFont="1" applyAlignment="1">
      <alignment vertical="center"/>
    </xf>
    <xf numFmtId="0" fontId="4" fillId="0" borderId="5" xfId="0" applyFont="1" applyBorder="1" applyAlignment="1">
      <alignment wrapText="1"/>
    </xf>
    <xf numFmtId="0" fontId="8" fillId="0" borderId="1" xfId="0" applyFont="1" applyAlignment="1">
      <alignment horizontal="left" vertical="center" wrapText="1"/>
    </xf>
    <xf numFmtId="0" fontId="4" fillId="15" borderId="1" xfId="0" applyFont="1" applyFill="1" applyAlignment="1">
      <alignment vertical="center"/>
    </xf>
    <xf numFmtId="49" fontId="8" fillId="0" borderId="1" xfId="0" applyNumberFormat="1" applyFont="1" applyAlignment="1">
      <alignment horizontal="center" vertical="center"/>
    </xf>
    <xf numFmtId="0" fontId="4" fillId="15" borderId="1" xfId="0" applyFont="1" applyFill="1" applyAlignment="1">
      <alignment horizontal="center" vertical="center"/>
    </xf>
    <xf numFmtId="0" fontId="4" fillId="0" borderId="10" xfId="0" applyFont="1" applyBorder="1"/>
    <xf numFmtId="0" fontId="4" fillId="0" borderId="11" xfId="0" applyFont="1" applyBorder="1"/>
    <xf numFmtId="0" fontId="4" fillId="0" borderId="12" xfId="0" applyFont="1" applyBorder="1"/>
    <xf numFmtId="0" fontId="4" fillId="15" borderId="1" xfId="0" applyFont="1" applyFill="1" applyAlignment="1">
      <alignment horizontal="left" vertical="center"/>
    </xf>
    <xf numFmtId="0" fontId="4" fillId="0" borderId="6" xfId="0" applyFont="1" applyBorder="1"/>
    <xf numFmtId="0" fontId="4" fillId="0" borderId="8" xfId="0" applyFont="1" applyBorder="1"/>
    <xf numFmtId="0" fontId="4" fillId="0" borderId="9" xfId="0" applyFont="1" applyBorder="1"/>
    <xf numFmtId="0" fontId="4" fillId="15" borderId="1" xfId="0" applyFont="1" applyFill="1" applyAlignment="1">
      <alignment wrapText="1"/>
    </xf>
    <xf numFmtId="0" fontId="4" fillId="15" borderId="1" xfId="0" applyFont="1" applyFill="1" applyAlignment="1">
      <alignment horizontal="center"/>
    </xf>
    <xf numFmtId="0" fontId="4" fillId="15" borderId="1" xfId="0" applyFont="1" applyFill="1" applyAlignment="1">
      <alignment horizontal="center" vertical="center" wrapText="1"/>
    </xf>
    <xf numFmtId="0" fontId="4" fillId="0" borderId="3" xfId="0" applyFont="1" applyBorder="1" applyAlignment="1">
      <alignment horizontal="center" vertical="center" wrapText="1"/>
    </xf>
    <xf numFmtId="49" fontId="8" fillId="11" borderId="14" xfId="0" applyNumberFormat="1" applyFont="1" applyFill="1" applyBorder="1" applyAlignment="1">
      <alignment horizontal="center" vertical="center"/>
    </xf>
    <xf numFmtId="49" fontId="8" fillId="8" borderId="14" xfId="0" applyNumberFormat="1" applyFont="1" applyFill="1" applyBorder="1" applyAlignment="1">
      <alignment horizontal="center" vertical="center"/>
    </xf>
    <xf numFmtId="49" fontId="8" fillId="11" borderId="14" xfId="0" applyNumberFormat="1" applyFont="1" applyFill="1" applyBorder="1" applyAlignment="1">
      <alignment horizontal="right" vertical="center"/>
    </xf>
    <xf numFmtId="49" fontId="8" fillId="11" borderId="14" xfId="0" applyNumberFormat="1" applyFont="1" applyFill="1" applyBorder="1" applyAlignment="1">
      <alignment horizontal="center" vertical="center" wrapText="1"/>
    </xf>
    <xf numFmtId="49" fontId="8" fillId="0" borderId="1" xfId="0" applyNumberFormat="1" applyFont="1" applyAlignment="1">
      <alignment horizontal="left" vertical="top"/>
    </xf>
    <xf numFmtId="0" fontId="8" fillId="0" borderId="1" xfId="0" applyFont="1" applyAlignment="1">
      <alignment horizontal="left" vertical="top" wrapText="1"/>
    </xf>
    <xf numFmtId="0" fontId="8" fillId="0" borderId="1" xfId="0" applyFont="1" applyAlignment="1">
      <alignment horizontal="center" vertical="top" wrapText="1"/>
    </xf>
    <xf numFmtId="0" fontId="8" fillId="8" borderId="19" xfId="0" applyFont="1" applyFill="1" applyBorder="1" applyAlignment="1">
      <alignment horizontal="left" vertical="center" wrapText="1"/>
    </xf>
    <xf numFmtId="0" fontId="4" fillId="8" borderId="19" xfId="0" applyFont="1" applyFill="1" applyBorder="1" applyAlignment="1">
      <alignment vertical="center" wrapText="1"/>
    </xf>
    <xf numFmtId="0" fontId="4" fillId="0" borderId="9" xfId="0" applyFont="1" applyBorder="1" applyAlignment="1">
      <alignment wrapText="1"/>
    </xf>
    <xf numFmtId="0" fontId="9" fillId="9" borderId="14" xfId="1" applyFont="1" applyFill="1" applyBorder="1" applyAlignment="1">
      <alignment horizontal="center" vertical="center" wrapText="1"/>
    </xf>
    <xf numFmtId="0" fontId="12" fillId="11" borderId="14" xfId="1" applyFont="1" applyFill="1" applyBorder="1" applyAlignment="1">
      <alignment vertical="center" wrapText="1"/>
    </xf>
    <xf numFmtId="0" fontId="12" fillId="11" borderId="14" xfId="1" applyFont="1" applyFill="1" applyBorder="1" applyAlignment="1">
      <alignment horizontal="left" vertical="center"/>
    </xf>
    <xf numFmtId="0" fontId="12" fillId="8" borderId="14" xfId="1" applyFont="1" applyFill="1" applyBorder="1" applyAlignment="1">
      <alignment horizontal="center" vertical="center"/>
    </xf>
    <xf numFmtId="0" fontId="8" fillId="11" borderId="14" xfId="1" applyFont="1" applyFill="1" applyBorder="1" applyAlignment="1">
      <alignment vertical="center" wrapText="1"/>
    </xf>
    <xf numFmtId="0" fontId="8" fillId="11" borderId="14" xfId="1" applyFont="1" applyFill="1" applyBorder="1" applyAlignment="1">
      <alignment horizontal="left" vertical="center"/>
    </xf>
    <xf numFmtId="0" fontId="8" fillId="8" borderId="14" xfId="1" applyFont="1" applyFill="1" applyBorder="1" applyAlignment="1">
      <alignment horizontal="center" vertical="center"/>
    </xf>
    <xf numFmtId="0" fontId="4" fillId="11" borderId="14" xfId="1" applyFont="1" applyFill="1" applyBorder="1" applyAlignment="1">
      <alignment vertical="center" wrapText="1"/>
    </xf>
    <xf numFmtId="0" fontId="6" fillId="4" borderId="14" xfId="1" applyFont="1" applyFill="1" applyBorder="1" applyAlignment="1">
      <alignment horizontal="center" vertical="center" wrapText="1"/>
    </xf>
    <xf numFmtId="49" fontId="6" fillId="3" borderId="14" xfId="0" applyNumberFormat="1" applyFont="1" applyFill="1" applyBorder="1" applyAlignment="1">
      <alignment horizontal="center" vertical="center"/>
    </xf>
    <xf numFmtId="49" fontId="6" fillId="10" borderId="14" xfId="0" applyNumberFormat="1" applyFont="1" applyFill="1" applyBorder="1" applyAlignment="1">
      <alignment horizontal="center" vertical="center" wrapText="1"/>
    </xf>
    <xf numFmtId="49" fontId="13" fillId="14" borderId="14" xfId="0" applyNumberFormat="1" applyFont="1" applyFill="1" applyBorder="1" applyAlignment="1">
      <alignment horizontal="center" vertical="center"/>
    </xf>
    <xf numFmtId="49" fontId="6" fillId="12" borderId="14" xfId="0" applyNumberFormat="1" applyFont="1" applyFill="1" applyBorder="1" applyAlignment="1">
      <alignment horizontal="center" vertical="center" wrapText="1"/>
    </xf>
    <xf numFmtId="0" fontId="13" fillId="13" borderId="14" xfId="0" applyFont="1" applyFill="1" applyBorder="1" applyAlignment="1">
      <alignment horizontal="center" vertical="center"/>
    </xf>
    <xf numFmtId="49" fontId="6" fillId="12" borderId="14" xfId="0" applyNumberFormat="1" applyFont="1" applyFill="1" applyBorder="1" applyAlignment="1">
      <alignment horizontal="center" vertical="center"/>
    </xf>
    <xf numFmtId="49" fontId="13" fillId="13" borderId="14" xfId="0" applyNumberFormat="1" applyFont="1" applyFill="1" applyBorder="1" applyAlignment="1">
      <alignment horizontal="center" vertical="center"/>
    </xf>
    <xf numFmtId="49" fontId="6" fillId="4" borderId="14" xfId="0" applyNumberFormat="1" applyFont="1" applyFill="1" applyBorder="1" applyAlignment="1">
      <alignment horizontal="right" vertical="center"/>
    </xf>
    <xf numFmtId="0" fontId="6" fillId="4" borderId="14" xfId="0" applyFont="1" applyFill="1" applyBorder="1" applyAlignment="1">
      <alignment horizontal="left" vertical="center"/>
    </xf>
    <xf numFmtId="164" fontId="8" fillId="8" borderId="14" xfId="0" applyNumberFormat="1" applyFont="1" applyFill="1" applyBorder="1" applyAlignment="1">
      <alignment horizontal="left" vertical="center" wrapText="1"/>
    </xf>
    <xf numFmtId="49" fontId="6" fillId="3" borderId="14" xfId="0" applyNumberFormat="1" applyFont="1" applyFill="1" applyBorder="1" applyAlignment="1">
      <alignment horizontal="right" vertical="center" wrapText="1"/>
    </xf>
    <xf numFmtId="0" fontId="6" fillId="4" borderId="14" xfId="0" applyFont="1" applyFill="1" applyBorder="1" applyAlignment="1">
      <alignment horizontal="center" vertical="center" wrapText="1"/>
    </xf>
    <xf numFmtId="0" fontId="4" fillId="8" borderId="14" xfId="0" applyFont="1" applyFill="1" applyBorder="1" applyAlignment="1">
      <alignment horizontal="center" vertical="center" wrapText="1"/>
    </xf>
    <xf numFmtId="49" fontId="7" fillId="8" borderId="14" xfId="0" applyNumberFormat="1" applyFont="1" applyFill="1" applyBorder="1" applyAlignment="1">
      <alignment horizontal="center" vertical="center" wrapText="1"/>
    </xf>
    <xf numFmtId="49" fontId="4" fillId="8" borderId="14" xfId="0" applyNumberFormat="1" applyFont="1" applyFill="1" applyBorder="1" applyAlignment="1">
      <alignment horizontal="center" vertical="center" wrapText="1"/>
    </xf>
    <xf numFmtId="0" fontId="15" fillId="4" borderId="14" xfId="0" applyFont="1" applyFill="1" applyBorder="1" applyAlignment="1">
      <alignment horizontal="center" vertical="center" wrapText="1"/>
    </xf>
    <xf numFmtId="0" fontId="16" fillId="0" borderId="1" xfId="0" applyFont="1"/>
    <xf numFmtId="0" fontId="15" fillId="13" borderId="14" xfId="0" applyFont="1" applyFill="1" applyBorder="1" applyAlignment="1">
      <alignment horizontal="center" vertical="center"/>
    </xf>
    <xf numFmtId="0" fontId="14" fillId="4" borderId="14" xfId="0" applyFont="1" applyFill="1" applyBorder="1" applyAlignment="1">
      <alignment horizontal="center" vertical="center"/>
    </xf>
    <xf numFmtId="0" fontId="14" fillId="10" borderId="14" xfId="0" applyFont="1" applyFill="1" applyBorder="1" applyAlignment="1">
      <alignment horizontal="center" vertical="center" wrapText="1"/>
    </xf>
    <xf numFmtId="0" fontId="15" fillId="14" borderId="14" xfId="0" applyFont="1" applyFill="1" applyBorder="1" applyAlignment="1">
      <alignment horizontal="center" vertical="center" wrapText="1"/>
    </xf>
    <xf numFmtId="49" fontId="13" fillId="14" borderId="14" xfId="0" applyNumberFormat="1" applyFont="1" applyFill="1" applyBorder="1" applyAlignment="1">
      <alignment horizontal="center" vertical="center" wrapText="1"/>
    </xf>
    <xf numFmtId="0" fontId="13" fillId="4" borderId="14" xfId="0" applyFont="1" applyFill="1" applyBorder="1" applyAlignment="1">
      <alignment horizontal="center" vertical="center" wrapText="1"/>
    </xf>
    <xf numFmtId="49" fontId="13" fillId="4" borderId="14" xfId="0" applyNumberFormat="1" applyFont="1" applyFill="1" applyBorder="1" applyAlignment="1">
      <alignment horizontal="center" vertical="center" wrapText="1"/>
    </xf>
    <xf numFmtId="49" fontId="8" fillId="8" borderId="14" xfId="0" applyNumberFormat="1" applyFont="1" applyFill="1" applyBorder="1" applyAlignment="1">
      <alignment horizontal="center" vertical="center" wrapText="1"/>
    </xf>
    <xf numFmtId="49" fontId="6" fillId="3" borderId="15" xfId="0" applyNumberFormat="1" applyFont="1" applyFill="1" applyBorder="1" applyAlignment="1">
      <alignment horizontal="right" vertical="center" wrapText="1"/>
    </xf>
    <xf numFmtId="49" fontId="6" fillId="4" borderId="21" xfId="0" applyNumberFormat="1" applyFont="1" applyFill="1" applyBorder="1" applyAlignment="1">
      <alignment horizontal="center" vertical="center" wrapText="1"/>
    </xf>
    <xf numFmtId="49" fontId="6" fillId="4" borderId="22" xfId="0" applyNumberFormat="1" applyFont="1" applyFill="1" applyBorder="1" applyAlignment="1">
      <alignment horizontal="center" vertical="center" wrapText="1"/>
    </xf>
    <xf numFmtId="49" fontId="6" fillId="4" borderId="20" xfId="0" applyNumberFormat="1" applyFont="1" applyFill="1" applyBorder="1" applyAlignment="1">
      <alignment horizontal="center" vertical="center" wrapText="1"/>
    </xf>
    <xf numFmtId="165" fontId="8" fillId="8" borderId="14" xfId="0" applyNumberFormat="1" applyFont="1" applyFill="1" applyBorder="1" applyAlignment="1">
      <alignment horizontal="center" vertical="center" wrapText="1"/>
    </xf>
    <xf numFmtId="1" fontId="5" fillId="2" borderId="14" xfId="0" applyNumberFormat="1" applyFont="1" applyFill="1" applyBorder="1" applyAlignment="1">
      <alignment horizontal="center" vertical="center"/>
    </xf>
    <xf numFmtId="1" fontId="4" fillId="0" borderId="1" xfId="0" applyNumberFormat="1" applyFont="1"/>
    <xf numFmtId="1" fontId="5" fillId="2" borderId="14" xfId="0" applyNumberFormat="1" applyFont="1" applyFill="1" applyBorder="1" applyAlignment="1">
      <alignment horizontal="center" vertical="center" wrapText="1"/>
    </xf>
    <xf numFmtId="1" fontId="4" fillId="0" borderId="2" xfId="0" applyNumberFormat="1" applyFont="1" applyBorder="1" applyAlignment="1">
      <alignment horizontal="center" vertical="center" wrapText="1"/>
    </xf>
    <xf numFmtId="49" fontId="6" fillId="15" borderId="1" xfId="0" applyNumberFormat="1" applyFont="1" applyFill="1" applyAlignment="1">
      <alignment horizontal="left" vertical="center" wrapText="1"/>
    </xf>
    <xf numFmtId="0" fontId="4" fillId="15" borderId="7" xfId="0" applyFont="1" applyFill="1" applyBorder="1"/>
    <xf numFmtId="0" fontId="4" fillId="15" borderId="5" xfId="0" applyFont="1" applyFill="1" applyBorder="1"/>
    <xf numFmtId="0" fontId="6" fillId="10" borderId="14" xfId="0" applyFont="1" applyFill="1" applyBorder="1" applyAlignment="1">
      <alignment horizontal="center" vertical="center"/>
    </xf>
    <xf numFmtId="49" fontId="5" fillId="2" borderId="14"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xf>
    <xf numFmtId="49" fontId="6" fillId="4" borderId="14" xfId="0" applyNumberFormat="1" applyFont="1" applyFill="1" applyBorder="1" applyAlignment="1">
      <alignment horizontal="center" vertical="center" wrapText="1"/>
    </xf>
    <xf numFmtId="0" fontId="6" fillId="4" borderId="14" xfId="0" applyFont="1" applyFill="1" applyBorder="1" applyAlignment="1">
      <alignment horizontal="center" vertical="center"/>
    </xf>
    <xf numFmtId="49" fontId="6" fillId="10" borderId="14" xfId="0" applyNumberFormat="1" applyFont="1" applyFill="1" applyBorder="1" applyAlignment="1">
      <alignment horizontal="center" vertical="center"/>
    </xf>
    <xf numFmtId="1" fontId="6" fillId="4" borderId="14" xfId="0" applyNumberFormat="1" applyFont="1" applyFill="1" applyBorder="1" applyAlignment="1">
      <alignment horizontal="center" vertical="center" wrapText="1"/>
    </xf>
    <xf numFmtId="0" fontId="8" fillId="11" borderId="14" xfId="0" applyFont="1" applyFill="1" applyBorder="1" applyAlignment="1">
      <alignment horizontal="center" vertical="center"/>
    </xf>
    <xf numFmtId="0" fontId="8" fillId="8" borderId="14" xfId="0" applyFont="1" applyFill="1" applyBorder="1" applyAlignment="1">
      <alignment horizontal="left" vertical="center" wrapText="1"/>
    </xf>
    <xf numFmtId="0" fontId="8" fillId="8" borderId="14" xfId="0" applyFont="1" applyFill="1" applyBorder="1" applyAlignment="1">
      <alignment horizontal="center" vertical="center" wrapText="1"/>
    </xf>
    <xf numFmtId="0" fontId="8" fillId="11" borderId="14" xfId="0" applyFont="1" applyFill="1" applyBorder="1" applyAlignment="1">
      <alignment horizontal="left" vertical="center" wrapText="1"/>
    </xf>
    <xf numFmtId="0" fontId="8" fillId="11" borderId="14" xfId="0" applyFont="1" applyFill="1" applyBorder="1" applyAlignment="1">
      <alignment horizontal="center" vertical="center" wrapText="1"/>
    </xf>
    <xf numFmtId="49" fontId="8" fillId="8" borderId="19" xfId="0" applyNumberFormat="1" applyFont="1" applyFill="1" applyBorder="1" applyAlignment="1">
      <alignment horizontal="center" vertical="center"/>
    </xf>
    <xf numFmtId="0" fontId="8" fillId="8" borderId="19" xfId="0" applyFont="1" applyFill="1" applyBorder="1" applyAlignment="1">
      <alignment horizontal="center" vertical="center" wrapText="1"/>
    </xf>
    <xf numFmtId="0" fontId="8" fillId="0" borderId="1" xfId="0" applyFont="1" applyAlignment="1">
      <alignment horizontal="center" vertical="center" wrapText="1"/>
    </xf>
    <xf numFmtId="49" fontId="6" fillId="3" borderId="14" xfId="0" applyNumberFormat="1" applyFont="1" applyFill="1" applyBorder="1" applyAlignment="1">
      <alignment horizontal="center" vertical="center" wrapText="1"/>
    </xf>
    <xf numFmtId="49" fontId="6" fillId="4" borderId="14" xfId="0" applyNumberFormat="1" applyFont="1" applyFill="1" applyBorder="1" applyAlignment="1">
      <alignment horizontal="center" vertical="center"/>
    </xf>
    <xf numFmtId="0" fontId="9" fillId="9" borderId="14" xfId="1" applyFont="1" applyFill="1" applyBorder="1" applyAlignment="1">
      <alignment horizontal="center" vertical="center"/>
    </xf>
    <xf numFmtId="0" fontId="4" fillId="16" borderId="14" xfId="0" applyFont="1" applyFill="1" applyBorder="1" applyAlignment="1">
      <alignment horizontal="center" vertical="center" wrapText="1"/>
    </xf>
    <xf numFmtId="0" fontId="7" fillId="8" borderId="14" xfId="0" applyFont="1" applyFill="1" applyBorder="1" applyAlignment="1">
      <alignment horizontal="center" vertical="center" wrapText="1"/>
    </xf>
    <xf numFmtId="49" fontId="6" fillId="4" borderId="14"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xf>
    <xf numFmtId="0" fontId="4" fillId="0" borderId="14" xfId="0" applyFont="1" applyBorder="1"/>
    <xf numFmtId="49" fontId="18" fillId="4" borderId="14" xfId="0" applyNumberFormat="1" applyFont="1" applyFill="1" applyBorder="1" applyAlignment="1">
      <alignment horizontal="center" vertical="center" wrapText="1"/>
    </xf>
    <xf numFmtId="0" fontId="19" fillId="8" borderId="14" xfId="0" applyFont="1" applyFill="1" applyBorder="1"/>
    <xf numFmtId="0" fontId="17" fillId="4" borderId="15" xfId="0" applyFont="1" applyFill="1" applyBorder="1" applyAlignment="1">
      <alignment horizontal="center" vertical="center" wrapText="1"/>
    </xf>
    <xf numFmtId="0" fontId="17" fillId="4" borderId="16" xfId="0" applyFont="1" applyFill="1" applyBorder="1" applyAlignment="1">
      <alignment horizontal="center" vertical="center" wrapText="1"/>
    </xf>
    <xf numFmtId="0" fontId="17" fillId="4" borderId="17" xfId="0" applyFont="1" applyFill="1" applyBorder="1" applyAlignment="1">
      <alignment horizontal="center" vertical="center" wrapText="1"/>
    </xf>
    <xf numFmtId="0" fontId="17" fillId="4" borderId="15" xfId="0" applyFont="1" applyFill="1" applyBorder="1" applyAlignment="1">
      <alignment horizontal="center" vertical="center"/>
    </xf>
    <xf numFmtId="0" fontId="17" fillId="4" borderId="16" xfId="0" applyFont="1" applyFill="1" applyBorder="1" applyAlignment="1">
      <alignment horizontal="center" vertical="center"/>
    </xf>
    <xf numFmtId="0" fontId="17" fillId="4" borderId="17" xfId="0" applyFont="1" applyFill="1" applyBorder="1" applyAlignment="1">
      <alignment horizontal="center" vertical="center"/>
    </xf>
    <xf numFmtId="0" fontId="4" fillId="0" borderId="1" xfId="0" applyFont="1" applyAlignment="1">
      <alignment horizontal="center" vertical="center" wrapText="1"/>
    </xf>
    <xf numFmtId="1" fontId="6" fillId="4" borderId="14" xfId="0" applyNumberFormat="1" applyFont="1" applyFill="1" applyBorder="1" applyAlignment="1">
      <alignment horizontal="center" vertical="center" wrapText="1"/>
    </xf>
    <xf numFmtId="49" fontId="6" fillId="10" borderId="14" xfId="0" applyNumberFormat="1" applyFont="1" applyFill="1" applyBorder="1" applyAlignment="1">
      <alignment horizontal="center" vertical="center"/>
    </xf>
    <xf numFmtId="0" fontId="4" fillId="8" borderId="14" xfId="0" applyFont="1" applyFill="1" applyBorder="1"/>
    <xf numFmtId="0" fontId="6" fillId="4" borderId="14" xfId="0" applyFont="1" applyFill="1" applyBorder="1" applyAlignment="1">
      <alignment horizontal="center" vertical="center"/>
    </xf>
    <xf numFmtId="49" fontId="6" fillId="4" borderId="15" xfId="0" applyNumberFormat="1" applyFont="1" applyFill="1" applyBorder="1" applyAlignment="1">
      <alignment horizontal="center" vertical="center" wrapText="1"/>
    </xf>
    <xf numFmtId="49" fontId="6" fillId="4" borderId="16" xfId="0" applyNumberFormat="1" applyFont="1" applyFill="1" applyBorder="1" applyAlignment="1">
      <alignment horizontal="center" vertical="center" wrapText="1"/>
    </xf>
    <xf numFmtId="49" fontId="6" fillId="4" borderId="17"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10" fillId="9" borderId="14" xfId="0" applyNumberFormat="1" applyFont="1" applyFill="1" applyBorder="1" applyAlignment="1">
      <alignment horizontal="center" vertical="center"/>
    </xf>
    <xf numFmtId="0" fontId="8" fillId="8" borderId="14" xfId="0" applyFont="1" applyFill="1" applyBorder="1" applyAlignment="1">
      <alignment horizontal="center" vertical="center" wrapText="1"/>
    </xf>
    <xf numFmtId="49" fontId="8" fillId="8" borderId="14" xfId="0" applyNumberFormat="1" applyFont="1" applyFill="1" applyBorder="1" applyAlignment="1">
      <alignment horizontal="left" vertical="center"/>
    </xf>
    <xf numFmtId="166" fontId="8" fillId="8" borderId="14" xfId="0" applyNumberFormat="1" applyFont="1" applyFill="1" applyBorder="1" applyAlignment="1">
      <alignment horizontal="left" vertical="center"/>
    </xf>
    <xf numFmtId="0" fontId="8" fillId="11" borderId="14" xfId="0" applyFont="1" applyFill="1" applyBorder="1" applyAlignment="1">
      <alignment horizontal="left" vertical="center" wrapText="1"/>
    </xf>
    <xf numFmtId="0" fontId="8" fillId="11" borderId="14" xfId="0" applyFont="1" applyFill="1" applyBorder="1" applyAlignment="1">
      <alignment horizontal="center" vertical="center" wrapText="1"/>
    </xf>
    <xf numFmtId="0" fontId="8" fillId="8" borderId="14" xfId="0" applyFont="1" applyFill="1" applyBorder="1" applyAlignment="1">
      <alignment horizontal="center" vertical="center"/>
    </xf>
    <xf numFmtId="49" fontId="8" fillId="8" borderId="19" xfId="0" applyNumberFormat="1" applyFont="1" applyFill="1" applyBorder="1" applyAlignment="1">
      <alignment horizontal="center" vertical="center"/>
    </xf>
    <xf numFmtId="0" fontId="8" fillId="8" borderId="19" xfId="0" applyFont="1" applyFill="1" applyBorder="1" applyAlignment="1">
      <alignment horizontal="center" vertical="center" wrapText="1"/>
    </xf>
    <xf numFmtId="0" fontId="8" fillId="0" borderId="1" xfId="0" applyFont="1" applyAlignment="1">
      <alignment horizontal="center" vertical="center" wrapText="1"/>
    </xf>
    <xf numFmtId="0" fontId="8" fillId="0" borderId="1" xfId="0" applyFont="1" applyAlignment="1">
      <alignment horizontal="center" vertical="center"/>
    </xf>
    <xf numFmtId="0" fontId="8" fillId="0" borderId="13" xfId="0" applyFont="1" applyBorder="1" applyAlignment="1">
      <alignment horizontal="center" vertical="center"/>
    </xf>
    <xf numFmtId="0" fontId="8" fillId="0" borderId="18" xfId="0" applyFont="1" applyBorder="1" applyAlignment="1">
      <alignment horizontal="center" vertical="center"/>
    </xf>
    <xf numFmtId="0" fontId="8" fillId="0" borderId="16" xfId="0" applyFont="1" applyBorder="1" applyAlignment="1">
      <alignment horizontal="center" vertical="center"/>
    </xf>
    <xf numFmtId="0" fontId="11" fillId="8" borderId="14" xfId="0" applyFont="1" applyFill="1" applyBorder="1" applyAlignment="1">
      <alignment horizontal="left" vertical="center" wrapText="1"/>
    </xf>
    <xf numFmtId="0" fontId="8" fillId="11" borderId="14" xfId="0" applyFont="1" applyFill="1" applyBorder="1" applyAlignment="1">
      <alignment horizontal="center" vertical="center"/>
    </xf>
    <xf numFmtId="0" fontId="8" fillId="8" borderId="14" xfId="0" applyFont="1" applyFill="1" applyBorder="1" applyAlignment="1">
      <alignment horizontal="left" vertical="center" wrapText="1"/>
    </xf>
    <xf numFmtId="49" fontId="6" fillId="7" borderId="19" xfId="0" applyNumberFormat="1" applyFont="1" applyFill="1" applyBorder="1" applyAlignment="1">
      <alignment horizontal="center" vertical="center"/>
    </xf>
    <xf numFmtId="49" fontId="6" fillId="3" borderId="14" xfId="0" applyNumberFormat="1" applyFont="1" applyFill="1" applyBorder="1" applyAlignment="1">
      <alignment horizontal="center" vertical="center" wrapText="1"/>
    </xf>
    <xf numFmtId="49" fontId="6" fillId="10" borderId="14" xfId="0" applyNumberFormat="1" applyFont="1" applyFill="1" applyBorder="1" applyAlignment="1">
      <alignment horizontal="left" vertical="center"/>
    </xf>
    <xf numFmtId="0" fontId="6" fillId="7" borderId="23" xfId="0" applyFont="1" applyFill="1" applyBorder="1" applyAlignment="1">
      <alignment horizontal="center" vertical="center"/>
    </xf>
    <xf numFmtId="0" fontId="6" fillId="7" borderId="24" xfId="0" applyFont="1" applyFill="1" applyBorder="1" applyAlignment="1">
      <alignment horizontal="center" vertical="center"/>
    </xf>
    <xf numFmtId="0" fontId="6" fillId="7" borderId="25" xfId="0" applyFont="1" applyFill="1" applyBorder="1" applyAlignment="1">
      <alignment horizontal="center" vertical="center"/>
    </xf>
    <xf numFmtId="0" fontId="4" fillId="0" borderId="7" xfId="0" applyFont="1" applyBorder="1" applyAlignment="1">
      <alignment horizontal="center"/>
    </xf>
    <xf numFmtId="0" fontId="4" fillId="0" borderId="7" xfId="0" applyFont="1" applyBorder="1"/>
    <xf numFmtId="0" fontId="10" fillId="9" borderId="14" xfId="0" applyFont="1" applyFill="1" applyBorder="1" applyAlignment="1">
      <alignment horizontal="center" vertical="center"/>
    </xf>
    <xf numFmtId="49" fontId="6" fillId="4" borderId="14" xfId="0" applyNumberFormat="1" applyFont="1" applyFill="1" applyBorder="1" applyAlignment="1">
      <alignment horizontal="center" vertical="center"/>
    </xf>
    <xf numFmtId="49" fontId="6" fillId="13" borderId="14" xfId="0" applyNumberFormat="1" applyFont="1" applyFill="1" applyBorder="1" applyAlignment="1">
      <alignment horizontal="left" vertical="center" wrapText="1"/>
    </xf>
    <xf numFmtId="0" fontId="9" fillId="9" borderId="14" xfId="1" applyFont="1" applyFill="1" applyBorder="1" applyAlignment="1">
      <alignment horizontal="center" vertical="center"/>
    </xf>
    <xf numFmtId="0" fontId="4" fillId="0" borderId="14" xfId="0" applyFont="1" applyBorder="1" applyAlignment="1">
      <alignment vertical="center"/>
    </xf>
    <xf numFmtId="0" fontId="4" fillId="8" borderId="14" xfId="1" applyFont="1" applyFill="1" applyBorder="1" applyAlignment="1">
      <alignment horizontal="center" vertical="center" wrapText="1"/>
    </xf>
    <xf numFmtId="0" fontId="0" fillId="0" borderId="16" xfId="0" applyBorder="1"/>
    <xf numFmtId="0" fontId="0" fillId="0" borderId="17" xfId="0" applyBorder="1"/>
  </cellXfs>
  <cellStyles count="4">
    <cellStyle name="Normal" xfId="0" builtinId="0"/>
    <cellStyle name="Normal 2" xfId="1" xr:uid="{00000000-0005-0000-0000-000002000000}"/>
    <cellStyle name="Normal 3" xfId="2" xr:uid="{00000000-0005-0000-0000-000003000000}"/>
    <cellStyle name="Normal 4" xfId="3" xr:uid="{171B4879-562F-4EC9-9615-BF13DD7298AA}"/>
  </cellStyles>
  <dxfs count="1">
    <dxf>
      <fill>
        <patternFill patternType="solid">
          <fgColor rgb="FFB7E1CD"/>
          <bgColor rgb="FFB7E1CD"/>
        </patternFill>
      </fill>
    </dxf>
  </dxfs>
  <tableStyles count="0" defaultTableStyle="TableStyleMedium2" defaultPivotStyle="PivotStyleLight16"/>
  <colors>
    <mruColors>
      <color rgb="FFD2E5DE"/>
      <color rgb="FF9AB6A8"/>
      <color rgb="FF000000"/>
      <color rgb="FF5D73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showGridLines="0" tabSelected="1" zoomScaleNormal="100" workbookViewId="0">
      <selection activeCell="B11" sqref="B11"/>
    </sheetView>
  </sheetViews>
  <sheetFormatPr defaultColWidth="12.44140625" defaultRowHeight="10.199999999999999" x14ac:dyDescent="0.3"/>
  <cols>
    <col min="1" max="2" width="22.5546875" style="1" customWidth="1"/>
    <col min="3" max="3" width="6" style="1" customWidth="1"/>
    <col min="4" max="5" width="15.5546875" style="1" customWidth="1"/>
    <col min="6" max="6" width="6.5546875" style="1" customWidth="1"/>
    <col min="7" max="7" width="40.77734375" style="2" customWidth="1"/>
    <col min="8" max="8" width="40.77734375" style="1" customWidth="1"/>
    <col min="9" max="13" width="36.21875" style="1" customWidth="1"/>
    <col min="14" max="17" width="8.44140625" style="1" customWidth="1"/>
    <col min="18" max="16384" width="12.44140625" style="1"/>
  </cols>
  <sheetData>
    <row r="1" spans="1:20" ht="15" customHeight="1" x14ac:dyDescent="0.3"/>
    <row r="2" spans="1:20" ht="29.25" customHeight="1" x14ac:dyDescent="0.2">
      <c r="A2" s="134" t="s">
        <v>0</v>
      </c>
      <c r="B2" s="134"/>
      <c r="D2" s="134" t="s">
        <v>1</v>
      </c>
      <c r="E2" s="134"/>
      <c r="G2" s="134" t="s">
        <v>2</v>
      </c>
      <c r="H2" s="134"/>
      <c r="I2" s="3"/>
      <c r="J2" s="3"/>
      <c r="K2" s="3"/>
      <c r="L2" s="3"/>
      <c r="M2" s="3"/>
      <c r="N2" s="3"/>
      <c r="O2" s="3"/>
      <c r="P2" s="3"/>
      <c r="Q2" s="3"/>
      <c r="R2" s="3"/>
      <c r="S2" s="3"/>
      <c r="T2" s="3"/>
    </row>
    <row r="3" spans="1:20" ht="28.95" customHeight="1" x14ac:dyDescent="0.2">
      <c r="A3" s="68" t="s">
        <v>3</v>
      </c>
      <c r="B3" s="84"/>
      <c r="D3" s="68" t="s">
        <v>4</v>
      </c>
      <c r="E3" s="98"/>
      <c r="G3" s="68" t="s">
        <v>5</v>
      </c>
      <c r="H3" s="70"/>
      <c r="I3" s="3"/>
      <c r="J3" s="3"/>
      <c r="K3" s="3"/>
      <c r="L3" s="3"/>
      <c r="M3" s="3"/>
      <c r="N3" s="3"/>
      <c r="O3" s="3"/>
      <c r="P3" s="3"/>
      <c r="Q3" s="3"/>
      <c r="R3" s="3"/>
      <c r="S3" s="3"/>
      <c r="T3" s="3"/>
    </row>
    <row r="4" spans="1:20" ht="29.25" customHeight="1" x14ac:dyDescent="0.2">
      <c r="A4" s="83" t="s">
        <v>7</v>
      </c>
      <c r="B4" s="86"/>
      <c r="C4" s="4"/>
      <c r="D4" s="68" t="s">
        <v>8</v>
      </c>
      <c r="E4" s="69"/>
      <c r="G4" s="68" t="s">
        <v>9</v>
      </c>
      <c r="H4" s="70"/>
      <c r="I4" s="3"/>
      <c r="J4" s="3"/>
      <c r="K4" s="3"/>
      <c r="L4" s="3"/>
      <c r="M4" s="3"/>
      <c r="N4" s="3"/>
      <c r="O4" s="3"/>
      <c r="P4" s="3"/>
      <c r="Q4" s="3"/>
      <c r="R4" s="3"/>
      <c r="S4" s="3"/>
      <c r="T4" s="3"/>
    </row>
    <row r="5" spans="1:20" ht="29.25" customHeight="1" x14ac:dyDescent="0.2">
      <c r="A5" s="68" t="s">
        <v>10</v>
      </c>
      <c r="B5" s="85"/>
      <c r="D5" s="68" t="s">
        <v>11</v>
      </c>
      <c r="E5" s="69"/>
      <c r="G5" s="68" t="s">
        <v>12</v>
      </c>
      <c r="H5" s="114"/>
      <c r="I5" s="3"/>
      <c r="J5" s="3"/>
      <c r="K5" s="3"/>
      <c r="L5" s="3"/>
      <c r="M5" s="3"/>
      <c r="N5" s="3"/>
      <c r="O5" s="3"/>
      <c r="P5" s="3"/>
      <c r="Q5" s="3"/>
      <c r="R5" s="3"/>
      <c r="S5" s="3"/>
      <c r="T5" s="3"/>
    </row>
    <row r="6" spans="1:20" ht="29.25" customHeight="1" x14ac:dyDescent="0.2">
      <c r="A6" s="68" t="s">
        <v>13</v>
      </c>
      <c r="B6" s="98"/>
      <c r="D6" s="68" t="s">
        <v>14</v>
      </c>
      <c r="E6" s="69"/>
      <c r="G6" s="68" t="s">
        <v>15</v>
      </c>
      <c r="H6" s="114" t="str" cm="1">
        <f t="array" ref="H6">_xlfn.IFS(COUNTIF(B20:B22,"Yes")&gt;0,"Yes",TRUE,"No")</f>
        <v>No</v>
      </c>
      <c r="I6" s="3"/>
      <c r="J6" s="3"/>
      <c r="K6" s="3"/>
      <c r="L6" s="3"/>
      <c r="M6" s="3"/>
      <c r="N6" s="3"/>
      <c r="O6" s="3"/>
      <c r="P6" s="3"/>
      <c r="Q6" s="3"/>
      <c r="R6" s="3"/>
      <c r="S6" s="3"/>
      <c r="T6" s="3"/>
    </row>
    <row r="7" spans="1:20" ht="29.25" customHeight="1" x14ac:dyDescent="0.2">
      <c r="A7" s="68" t="s">
        <v>17</v>
      </c>
      <c r="B7" s="98"/>
      <c r="G7" s="68" t="s">
        <v>18</v>
      </c>
      <c r="H7" s="70" t="s">
        <v>16</v>
      </c>
      <c r="I7" s="3"/>
      <c r="J7" s="3"/>
      <c r="K7" s="3"/>
      <c r="L7" s="3"/>
      <c r="M7" s="3"/>
      <c r="N7" s="3"/>
      <c r="O7" s="3"/>
      <c r="P7" s="3"/>
      <c r="Q7" s="3"/>
      <c r="R7" s="3"/>
      <c r="S7" s="3"/>
      <c r="T7" s="3"/>
    </row>
    <row r="8" spans="1:20" ht="29.25" customHeight="1" x14ac:dyDescent="0.2">
      <c r="A8" s="68" t="s">
        <v>19</v>
      </c>
      <c r="B8" s="98"/>
      <c r="D8" s="134" t="s">
        <v>20</v>
      </c>
      <c r="E8" s="134"/>
      <c r="G8" s="68" t="s">
        <v>21</v>
      </c>
      <c r="H8" s="71" t="s">
        <v>16</v>
      </c>
      <c r="I8" s="3"/>
      <c r="J8" s="3"/>
      <c r="K8" s="3"/>
      <c r="L8" s="3"/>
      <c r="M8" s="3"/>
      <c r="N8" s="3"/>
      <c r="O8" s="3"/>
      <c r="P8" s="3"/>
      <c r="Q8" s="3"/>
      <c r="R8" s="3"/>
      <c r="S8" s="3"/>
      <c r="T8" s="3"/>
    </row>
    <row r="9" spans="1:20" ht="29.25" customHeight="1" x14ac:dyDescent="0.2">
      <c r="A9" s="68" t="s">
        <v>22</v>
      </c>
      <c r="B9" s="69" t="s">
        <v>6</v>
      </c>
      <c r="D9" s="68" t="s">
        <v>4</v>
      </c>
      <c r="E9" s="69"/>
      <c r="G9" s="68" t="s">
        <v>23</v>
      </c>
      <c r="H9" s="70" t="s">
        <v>16</v>
      </c>
      <c r="I9" s="3"/>
      <c r="J9" s="3"/>
      <c r="K9" s="3"/>
      <c r="L9" s="3"/>
      <c r="M9" s="3"/>
      <c r="N9" s="3"/>
      <c r="O9" s="3"/>
      <c r="P9" s="3"/>
      <c r="Q9" s="3"/>
      <c r="R9" s="3"/>
      <c r="S9" s="3"/>
      <c r="T9" s="3"/>
    </row>
    <row r="10" spans="1:20" ht="29.25" customHeight="1" x14ac:dyDescent="0.2">
      <c r="A10" s="68" t="s">
        <v>24</v>
      </c>
      <c r="B10" s="69" t="s">
        <v>26</v>
      </c>
      <c r="D10" s="68" t="s">
        <v>8</v>
      </c>
      <c r="E10" s="69"/>
      <c r="G10" s="68" t="s">
        <v>25</v>
      </c>
      <c r="H10" s="70" t="s">
        <v>26</v>
      </c>
      <c r="I10" s="3"/>
      <c r="J10" s="3"/>
      <c r="K10" s="3"/>
      <c r="L10" s="3"/>
      <c r="M10" s="3"/>
      <c r="N10" s="3"/>
      <c r="O10" s="3"/>
      <c r="P10" s="3"/>
      <c r="Q10" s="3"/>
      <c r="R10" s="3"/>
      <c r="S10" s="3"/>
      <c r="T10" s="3"/>
    </row>
    <row r="11" spans="1:20" ht="29.25" customHeight="1" x14ac:dyDescent="0.2">
      <c r="A11" s="68" t="s">
        <v>27</v>
      </c>
      <c r="B11" s="69" t="s">
        <v>283</v>
      </c>
      <c r="D11" s="68" t="s">
        <v>11</v>
      </c>
      <c r="E11" s="69"/>
      <c r="G11" s="68" t="s">
        <v>28</v>
      </c>
      <c r="H11" s="71" t="s">
        <v>16</v>
      </c>
      <c r="I11" s="3"/>
      <c r="J11" s="3"/>
      <c r="K11" s="3"/>
      <c r="L11" s="3"/>
      <c r="M11" s="3"/>
      <c r="N11" s="3"/>
      <c r="O11" s="3"/>
      <c r="P11" s="3"/>
      <c r="Q11" s="3"/>
      <c r="R11" s="3"/>
      <c r="S11" s="3"/>
      <c r="T11" s="3"/>
    </row>
    <row r="12" spans="1:20" ht="29.25" customHeight="1" x14ac:dyDescent="0.2">
      <c r="A12" s="68" t="s">
        <v>29</v>
      </c>
      <c r="B12" s="69" t="s">
        <v>26</v>
      </c>
      <c r="D12" s="68" t="s">
        <v>14</v>
      </c>
      <c r="E12" s="69"/>
      <c r="G12" s="68" t="s">
        <v>30</v>
      </c>
      <c r="H12" s="70" t="s">
        <v>16</v>
      </c>
      <c r="I12" s="3"/>
      <c r="J12" s="3"/>
      <c r="K12" s="3"/>
      <c r="L12" s="3"/>
      <c r="M12" s="3"/>
      <c r="N12" s="3"/>
      <c r="O12" s="3"/>
      <c r="P12" s="3"/>
      <c r="Q12" s="3"/>
      <c r="R12" s="3"/>
      <c r="S12" s="3"/>
      <c r="T12" s="3"/>
    </row>
    <row r="13" spans="1:20" ht="29.25" customHeight="1" x14ac:dyDescent="0.2">
      <c r="A13" s="68" t="s">
        <v>31</v>
      </c>
      <c r="B13" s="69" t="s">
        <v>283</v>
      </c>
      <c r="D13" s="68" t="s">
        <v>32</v>
      </c>
      <c r="E13" s="69" t="s">
        <v>33</v>
      </c>
      <c r="H13" s="5"/>
      <c r="I13" s="3"/>
      <c r="J13" s="3"/>
      <c r="K13" s="3"/>
      <c r="L13" s="3"/>
      <c r="M13" s="3"/>
      <c r="N13" s="3"/>
      <c r="O13" s="3"/>
      <c r="P13" s="3"/>
      <c r="Q13" s="3"/>
      <c r="R13" s="3"/>
      <c r="S13" s="3"/>
      <c r="T13" s="3"/>
    </row>
    <row r="14" spans="1:20" ht="29.25" customHeight="1" x14ac:dyDescent="0.2">
      <c r="A14" s="68" t="s">
        <v>34</v>
      </c>
      <c r="B14" s="98"/>
      <c r="G14" s="134" t="s">
        <v>35</v>
      </c>
      <c r="H14" s="134"/>
      <c r="J14" s="3"/>
      <c r="K14" s="3"/>
      <c r="L14" s="3"/>
      <c r="M14" s="3"/>
      <c r="N14" s="3"/>
      <c r="O14" s="3"/>
      <c r="P14" s="3"/>
      <c r="Q14" s="3"/>
      <c r="R14" s="3"/>
      <c r="S14" s="3"/>
      <c r="T14" s="3"/>
    </row>
    <row r="15" spans="1:20" ht="29.25" customHeight="1" x14ac:dyDescent="0.2">
      <c r="A15" s="68" t="s">
        <v>36</v>
      </c>
      <c r="B15" s="98"/>
      <c r="D15" s="134" t="s">
        <v>37</v>
      </c>
      <c r="E15" s="117"/>
      <c r="G15" s="68" t="s">
        <v>38</v>
      </c>
      <c r="H15" s="113" t="s">
        <v>6</v>
      </c>
      <c r="J15" s="3"/>
      <c r="K15" s="3"/>
      <c r="L15" s="3"/>
      <c r="M15" s="3"/>
      <c r="N15" s="3"/>
      <c r="O15" s="3"/>
      <c r="P15" s="3"/>
      <c r="Q15" s="3"/>
      <c r="R15" s="3"/>
      <c r="S15" s="3"/>
      <c r="T15" s="3"/>
    </row>
    <row r="16" spans="1:20" ht="29.25" customHeight="1" x14ac:dyDescent="0.2">
      <c r="A16" s="68" t="s">
        <v>39</v>
      </c>
      <c r="B16" s="98"/>
      <c r="D16" s="68" t="s">
        <v>40</v>
      </c>
      <c r="E16" s="69"/>
      <c r="G16" s="68" t="s">
        <v>41</v>
      </c>
      <c r="H16" s="113" t="s">
        <v>6</v>
      </c>
      <c r="J16" s="3"/>
      <c r="K16" s="3"/>
      <c r="L16" s="3"/>
      <c r="M16" s="3"/>
      <c r="N16" s="3"/>
      <c r="O16" s="3"/>
      <c r="P16" s="3"/>
      <c r="Q16" s="3"/>
      <c r="R16" s="3"/>
      <c r="S16" s="3"/>
      <c r="T16" s="3"/>
    </row>
    <row r="17" spans="1:20" ht="29.25" customHeight="1" x14ac:dyDescent="0.2">
      <c r="A17" s="68" t="s">
        <v>42</v>
      </c>
      <c r="B17" s="69"/>
      <c r="D17" s="68" t="s">
        <v>43</v>
      </c>
      <c r="E17" s="69"/>
      <c r="G17" s="68" t="s">
        <v>44</v>
      </c>
      <c r="H17" s="71" t="s">
        <v>45</v>
      </c>
      <c r="J17" s="3"/>
      <c r="K17" s="3"/>
      <c r="L17" s="3"/>
      <c r="M17" s="3"/>
      <c r="N17" s="3"/>
      <c r="O17" s="3"/>
      <c r="P17" s="3"/>
      <c r="Q17" s="3"/>
      <c r="R17" s="3"/>
      <c r="S17" s="3"/>
      <c r="T17" s="3"/>
    </row>
    <row r="18" spans="1:20" ht="29.25" customHeight="1" x14ac:dyDescent="0.2">
      <c r="A18" s="68" t="s">
        <v>46</v>
      </c>
      <c r="B18" s="69"/>
      <c r="D18" s="68" t="s">
        <v>47</v>
      </c>
      <c r="E18" s="69"/>
      <c r="G18" s="68" t="s">
        <v>48</v>
      </c>
      <c r="H18" s="70" t="s">
        <v>45</v>
      </c>
      <c r="J18" s="3"/>
      <c r="K18" s="3"/>
      <c r="L18" s="3"/>
      <c r="M18" s="3"/>
      <c r="N18" s="3"/>
      <c r="O18" s="3"/>
      <c r="P18" s="3"/>
      <c r="Q18" s="3"/>
      <c r="R18" s="3"/>
      <c r="S18" s="3"/>
      <c r="T18" s="3"/>
    </row>
    <row r="19" spans="1:20" ht="29.25" customHeight="1" x14ac:dyDescent="0.2">
      <c r="A19" s="68" t="s">
        <v>49</v>
      </c>
      <c r="B19" s="98"/>
      <c r="D19" s="68" t="s">
        <v>50</v>
      </c>
      <c r="E19" s="69"/>
      <c r="H19" s="5"/>
      <c r="J19" s="3"/>
      <c r="K19" s="3"/>
      <c r="L19" s="3"/>
      <c r="M19" s="3"/>
      <c r="N19" s="3"/>
      <c r="O19" s="3"/>
      <c r="P19" s="3"/>
      <c r="Q19" s="3"/>
      <c r="R19" s="3"/>
      <c r="S19" s="3"/>
      <c r="T19" s="3"/>
    </row>
    <row r="20" spans="1:20" ht="29.25" customHeight="1" x14ac:dyDescent="0.2">
      <c r="A20" s="68" t="s">
        <v>51</v>
      </c>
      <c r="B20" s="98"/>
      <c r="D20" s="68" t="s">
        <v>52</v>
      </c>
      <c r="E20" s="69"/>
      <c r="G20" s="134" t="s">
        <v>53</v>
      </c>
      <c r="H20" s="117"/>
      <c r="J20" s="3"/>
      <c r="K20" s="3"/>
      <c r="L20" s="3"/>
      <c r="M20" s="3"/>
      <c r="N20" s="3"/>
      <c r="O20" s="3"/>
      <c r="P20" s="3"/>
      <c r="Q20" s="3"/>
      <c r="R20" s="3"/>
      <c r="S20" s="3"/>
      <c r="T20" s="3"/>
    </row>
    <row r="21" spans="1:20" ht="29.25" customHeight="1" x14ac:dyDescent="0.2">
      <c r="A21" s="68" t="s">
        <v>54</v>
      </c>
      <c r="B21" s="98"/>
      <c r="D21" s="68" t="s">
        <v>55</v>
      </c>
      <c r="E21" s="69"/>
      <c r="G21" s="68" t="s">
        <v>56</v>
      </c>
      <c r="H21" s="72" t="s">
        <v>57</v>
      </c>
      <c r="J21" s="3"/>
      <c r="K21" s="3"/>
      <c r="L21" s="3"/>
      <c r="M21" s="3"/>
      <c r="N21" s="3"/>
      <c r="O21" s="3"/>
      <c r="P21" s="3"/>
      <c r="Q21" s="3"/>
      <c r="R21" s="3"/>
      <c r="S21" s="3"/>
      <c r="T21" s="3"/>
    </row>
    <row r="22" spans="1:20" ht="29.25" customHeight="1" x14ac:dyDescent="0.2">
      <c r="A22" s="68" t="s">
        <v>58</v>
      </c>
      <c r="B22" s="98"/>
      <c r="D22" s="68" t="s">
        <v>59</v>
      </c>
      <c r="E22" s="69"/>
      <c r="G22" s="6"/>
      <c r="H22" s="7"/>
      <c r="J22" s="3"/>
      <c r="K22" s="3"/>
      <c r="L22" s="3"/>
      <c r="M22" s="3"/>
      <c r="N22" s="3"/>
      <c r="O22" s="3"/>
      <c r="P22" s="3"/>
      <c r="Q22" s="3"/>
      <c r="R22" s="3"/>
      <c r="S22" s="3"/>
      <c r="T22" s="3"/>
    </row>
    <row r="23" spans="1:20" ht="29.25" customHeight="1" x14ac:dyDescent="0.2">
      <c r="A23" s="68" t="s">
        <v>60</v>
      </c>
      <c r="B23" s="98">
        <f>B21</f>
        <v>0</v>
      </c>
      <c r="D23" s="68" t="s">
        <v>61</v>
      </c>
      <c r="E23" s="69"/>
      <c r="G23" s="6"/>
      <c r="H23" s="7"/>
      <c r="J23" s="3"/>
      <c r="K23" s="3"/>
      <c r="L23" s="3"/>
      <c r="M23" s="3"/>
      <c r="N23" s="3"/>
      <c r="O23" s="3"/>
      <c r="P23" s="3"/>
      <c r="Q23" s="3"/>
      <c r="R23" s="3"/>
      <c r="S23" s="3"/>
      <c r="T23" s="3"/>
    </row>
    <row r="24" spans="1:20" ht="28.95" customHeight="1" x14ac:dyDescent="0.2">
      <c r="A24" s="68" t="s">
        <v>62</v>
      </c>
      <c r="B24" s="98"/>
      <c r="G24" s="6"/>
      <c r="H24" s="7"/>
      <c r="J24" s="3"/>
      <c r="K24" s="3"/>
      <c r="L24" s="3"/>
      <c r="M24" s="3"/>
      <c r="N24" s="3"/>
      <c r="O24" s="3"/>
      <c r="P24" s="3"/>
      <c r="Q24" s="3"/>
      <c r="R24" s="3"/>
      <c r="S24" s="3"/>
      <c r="T24" s="3"/>
    </row>
    <row r="25" spans="1:20" ht="29.25" customHeight="1" x14ac:dyDescent="0.3">
      <c r="A25" s="68" t="s">
        <v>63</v>
      </c>
      <c r="B25" s="98"/>
    </row>
    <row r="26" spans="1:20" ht="15" customHeight="1" x14ac:dyDescent="0.2">
      <c r="G26" s="8"/>
      <c r="H26" s="9"/>
    </row>
    <row r="27" spans="1:20" x14ac:dyDescent="0.2">
      <c r="B27" s="10"/>
      <c r="C27" s="10"/>
      <c r="G27" s="8"/>
      <c r="H27" s="9"/>
    </row>
    <row r="28" spans="1:20" x14ac:dyDescent="0.2">
      <c r="B28" s="10"/>
      <c r="C28" s="10"/>
    </row>
    <row r="29" spans="1:20" x14ac:dyDescent="0.2">
      <c r="D29" s="3"/>
    </row>
  </sheetData>
  <mergeCells count="7">
    <mergeCell ref="D8:E8"/>
    <mergeCell ref="G20:H20"/>
    <mergeCell ref="A2:B2"/>
    <mergeCell ref="D2:E2"/>
    <mergeCell ref="G2:H2"/>
    <mergeCell ref="G14:H14"/>
    <mergeCell ref="D15:E15"/>
  </mergeCells>
  <pageMargins left="0.25" right="0.25" top="0.75" bottom="0.75" header="0" footer="0"/>
  <pageSetup orientation="landscape"/>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4"/>
  <sheetViews>
    <sheetView showGridLines="0" zoomScaleNormal="100" workbookViewId="0">
      <selection activeCell="C22" sqref="C22:C23"/>
    </sheetView>
  </sheetViews>
  <sheetFormatPr defaultColWidth="12.44140625" defaultRowHeight="10.199999999999999" x14ac:dyDescent="0.3"/>
  <cols>
    <col min="1" max="1" width="10.5546875" style="11" customWidth="1"/>
    <col min="2" max="2" width="20.5546875" style="11" customWidth="1"/>
    <col min="3" max="3" width="15.5546875" style="11" customWidth="1"/>
    <col min="4" max="6" width="28.5546875" style="11" customWidth="1"/>
    <col min="7" max="7" width="20.77734375" style="91" customWidth="1"/>
    <col min="8" max="8" width="15.5546875" style="11" customWidth="1"/>
    <col min="9" max="9" width="8.44140625" style="11" customWidth="1"/>
    <col min="10" max="10" width="17.88671875" style="11" customWidth="1"/>
    <col min="11" max="14" width="8.44140625" style="11" customWidth="1"/>
    <col min="15" max="15" width="12.44140625" style="11" customWidth="1"/>
    <col min="16" max="16384" width="12.44140625" style="11"/>
  </cols>
  <sheetData>
    <row r="1" spans="1:19" ht="29.4" customHeight="1" x14ac:dyDescent="0.2">
      <c r="A1" s="116" t="s">
        <v>64</v>
      </c>
      <c r="B1" s="117"/>
      <c r="C1" s="97" t="s">
        <v>65</v>
      </c>
      <c r="D1" s="116" t="s">
        <v>66</v>
      </c>
      <c r="E1" s="117"/>
      <c r="F1" s="117"/>
      <c r="G1" s="88" t="s">
        <v>67</v>
      </c>
      <c r="H1" s="97" t="s">
        <v>68</v>
      </c>
      <c r="I1" s="38"/>
    </row>
    <row r="2" spans="1:19" ht="29.4" customHeight="1" x14ac:dyDescent="0.3">
      <c r="A2" s="99" t="b" cm="1">
        <f t="array" aca="1" ref="A2" ca="1">SUMPRODUCT(--ISNUMBER(SEARCH(MID("ABCDEFGHIJKLMNOPQRSTUVWXYZabcdefghijklmnopqrstuvwxyz",ROW(INDIRECT("1:52")),1),D2)))&gt;0</f>
        <v>0</v>
      </c>
      <c r="B2" s="110" t="s">
        <v>69</v>
      </c>
      <c r="C2" s="110" t="s">
        <v>70</v>
      </c>
      <c r="D2" s="123" t="str" cm="1">
        <f t="array" ref="D2">_xlfn.IFS(COUNTIF('11.0'!D4:D12,"No")&gt;0,"Location Specified on DS-2.3",TRUE,"")</f>
        <v/>
      </c>
      <c r="E2" s="124"/>
      <c r="F2" s="125"/>
      <c r="G2" s="101"/>
      <c r="H2" s="98" t="s">
        <v>71</v>
      </c>
      <c r="I2" s="38"/>
    </row>
    <row r="3" spans="1:19" ht="29.4" customHeight="1" x14ac:dyDescent="0.2">
      <c r="A3" s="99" t="b" cm="1">
        <f t="array" aca="1" ref="A3" ca="1">SUMPRODUCT(--ISNUMBER(SEARCH(MID("ABCDEFGHIJKLMNOPQRSTUVWXYZabcdefghijklmnopqrstuvwxyz",ROW(INDIRECT("1:52")),1),D3)))&gt;0</f>
        <v>0</v>
      </c>
      <c r="B3" s="110" t="s">
        <v>72</v>
      </c>
      <c r="C3" s="110" t="s">
        <v>72</v>
      </c>
      <c r="D3" s="120"/>
      <c r="E3" s="121"/>
      <c r="F3" s="122"/>
      <c r="G3" s="101"/>
      <c r="H3" s="98" t="s">
        <v>71</v>
      </c>
      <c r="I3" s="38"/>
      <c r="M3" s="3"/>
      <c r="N3" s="3"/>
      <c r="O3" s="3"/>
      <c r="P3" s="3"/>
      <c r="Q3" s="3"/>
      <c r="R3" s="3"/>
      <c r="S3" s="3"/>
    </row>
    <row r="4" spans="1:19" ht="29.4" customHeight="1" x14ac:dyDescent="0.2">
      <c r="A4" s="99" t="b" cm="1">
        <f t="array" aca="1" ref="A4" ca="1">SUMPRODUCT(--ISNUMBER(SEARCH(MID("ABCDEFGHIJKLMNOPQRSTUVWXYZabcdefghijklmnopqrstuvwxyz",ROW(INDIRECT("1:52")),1),D4)))&gt;0</f>
        <v>0</v>
      </c>
      <c r="B4" s="110" t="s">
        <v>73</v>
      </c>
      <c r="C4" s="110" t="s">
        <v>74</v>
      </c>
      <c r="D4" s="123" t="str" cm="1">
        <f t="array" ref="D4">_xlfn.IFS(COUNTIF('11.0'!E4:E12,"No")&gt;0,"Location Specified on DS-2.3",TRUE,"")</f>
        <v/>
      </c>
      <c r="E4" s="124"/>
      <c r="F4" s="125"/>
      <c r="G4" s="101"/>
      <c r="H4" s="98" t="s">
        <v>71</v>
      </c>
      <c r="I4" s="38"/>
      <c r="M4" s="3"/>
      <c r="N4" s="3"/>
      <c r="O4" s="3"/>
      <c r="P4" s="3"/>
      <c r="Q4" s="3"/>
      <c r="R4" s="3"/>
      <c r="S4" s="3"/>
    </row>
    <row r="5" spans="1:19" ht="29.4" customHeight="1" x14ac:dyDescent="0.2">
      <c r="A5" s="99" t="b" cm="1">
        <f t="array" aca="1" ref="A5" ca="1">SUMPRODUCT(--ISNUMBER(SEARCH(MID("ABCDEFGHIJKLMNOPQRSTUVWXYZabcdefghijklmnopqrstuvwxyz",ROW(INDIRECT("1:52")),1),D5)))&gt;0</f>
        <v>0</v>
      </c>
      <c r="B5" s="100" t="s">
        <v>75</v>
      </c>
      <c r="C5" s="100" t="s">
        <v>76</v>
      </c>
      <c r="D5" s="120"/>
      <c r="E5" s="121"/>
      <c r="F5" s="122"/>
      <c r="G5" s="101"/>
      <c r="H5" s="98" t="s">
        <v>71</v>
      </c>
      <c r="I5" s="38"/>
      <c r="M5" s="3"/>
      <c r="N5" s="3"/>
      <c r="O5" s="3"/>
      <c r="P5" s="3"/>
      <c r="Q5" s="3"/>
      <c r="R5" s="3"/>
      <c r="S5" s="3"/>
    </row>
    <row r="6" spans="1:19" ht="29.4" customHeight="1" x14ac:dyDescent="0.2">
      <c r="A6" s="99" t="b" cm="1">
        <f t="array" aca="1" ref="A6" ca="1">SUMPRODUCT(--ISNUMBER(SEARCH(MID("ABCDEFGHIJKLMNOPQRSTUVWXYZabcdefghijklmnopqrstuvwxyz",ROW(INDIRECT("1:52")),1),D6)))&gt;0</f>
        <v>0</v>
      </c>
      <c r="B6" s="100" t="s">
        <v>77</v>
      </c>
      <c r="C6" s="100" t="s">
        <v>78</v>
      </c>
      <c r="D6" s="120"/>
      <c r="E6" s="121"/>
      <c r="F6" s="122"/>
      <c r="G6" s="101"/>
      <c r="H6" s="98" t="s">
        <v>71</v>
      </c>
      <c r="I6" s="38"/>
      <c r="M6" s="3"/>
      <c r="N6" s="3"/>
      <c r="O6" s="3"/>
      <c r="P6" s="3"/>
      <c r="Q6" s="3"/>
      <c r="R6" s="3"/>
      <c r="S6" s="3"/>
    </row>
    <row r="7" spans="1:19" ht="29.4" customHeight="1" x14ac:dyDescent="0.2">
      <c r="A7" s="99" t="b" cm="1">
        <f t="array" aca="1" ref="A7" ca="1">SUMPRODUCT(--ISNUMBER(SEARCH(MID("ABCDEFGHIJKLMNOPQRSTUVWXYZabcdefghijklmnopqrstuvwxyz",ROW(INDIRECT("1:52")),1),D7)))&gt;0</f>
        <v>0</v>
      </c>
      <c r="B7" s="100" t="s">
        <v>79</v>
      </c>
      <c r="C7" s="100" t="s">
        <v>80</v>
      </c>
      <c r="D7" s="118"/>
      <c r="E7" s="119"/>
      <c r="F7" s="119"/>
      <c r="G7" s="101"/>
      <c r="H7" s="98" t="s">
        <v>81</v>
      </c>
      <c r="I7" s="38"/>
      <c r="M7" s="3"/>
      <c r="N7" s="3"/>
      <c r="O7" s="3"/>
      <c r="P7" s="3"/>
      <c r="Q7" s="3"/>
      <c r="R7" s="3"/>
      <c r="S7" s="3"/>
    </row>
    <row r="8" spans="1:19" ht="29.4" customHeight="1" x14ac:dyDescent="0.2">
      <c r="A8" s="99" t="b" cm="1">
        <f t="array" aca="1" ref="A8" ca="1">SUMPRODUCT(--ISNUMBER(SEARCH(MID("ABCDEFGHIJKLMNOPQRSTUVWXYZabcdefghijklmnopqrstuvwxyz",ROW(INDIRECT("1:52")),1),D8)))&gt;0</f>
        <v>0</v>
      </c>
      <c r="B8" s="100" t="s">
        <v>82</v>
      </c>
      <c r="C8" s="100" t="s">
        <v>83</v>
      </c>
      <c r="D8" s="118"/>
      <c r="E8" s="119"/>
      <c r="F8" s="119"/>
      <c r="G8" s="101"/>
      <c r="H8" s="98" t="s">
        <v>81</v>
      </c>
      <c r="I8" s="38"/>
      <c r="M8" s="3"/>
      <c r="N8" s="3"/>
      <c r="O8" s="3"/>
      <c r="P8" s="3"/>
      <c r="Q8" s="3"/>
      <c r="R8" s="3"/>
      <c r="S8" s="3"/>
    </row>
    <row r="9" spans="1:19" ht="29.4" customHeight="1" x14ac:dyDescent="0.2">
      <c r="A9" s="99" t="b" cm="1">
        <f t="array" aca="1" ref="A9" ca="1">SUMPRODUCT(--ISNUMBER(SEARCH(MID("ABCDEFGHIJKLMNOPQRSTUVWXYZabcdefghijklmnopqrstuvwxyz",ROW(INDIRECT("1:52")),1),D9)))&gt;0</f>
        <v>0</v>
      </c>
      <c r="B9" s="100" t="s">
        <v>84</v>
      </c>
      <c r="C9" s="100" t="s">
        <v>85</v>
      </c>
      <c r="D9" s="118"/>
      <c r="E9" s="119"/>
      <c r="F9" s="119"/>
      <c r="G9" s="101"/>
      <c r="H9" s="98" t="s">
        <v>81</v>
      </c>
      <c r="I9" s="38"/>
      <c r="M9" s="3"/>
      <c r="N9" s="3"/>
      <c r="O9" s="3"/>
      <c r="P9" s="3"/>
      <c r="Q9" s="3"/>
      <c r="R9" s="3"/>
      <c r="S9" s="3"/>
    </row>
    <row r="10" spans="1:19" ht="29.4" customHeight="1" x14ac:dyDescent="0.2">
      <c r="A10" s="99" t="b" cm="1">
        <f t="array" aca="1" ref="A10" ca="1">SUMPRODUCT(--ISNUMBER(SEARCH(MID("ABCDEFGHIJKLMNOPQRSTUVWXYZabcdefghijklmnopqrstuvwxyz",ROW(INDIRECT("1:52")),1),D10)))&gt;0</f>
        <v>0</v>
      </c>
      <c r="B10" s="100" t="s">
        <v>86</v>
      </c>
      <c r="C10" s="100" t="s">
        <v>87</v>
      </c>
      <c r="D10" s="120"/>
      <c r="E10" s="121"/>
      <c r="F10" s="122"/>
      <c r="G10" s="101"/>
      <c r="H10" s="98" t="s">
        <v>81</v>
      </c>
      <c r="I10" s="38"/>
      <c r="M10" s="3"/>
      <c r="N10" s="3"/>
      <c r="O10" s="3"/>
      <c r="P10" s="3"/>
      <c r="Q10" s="3"/>
      <c r="R10" s="3"/>
      <c r="S10" s="3"/>
    </row>
    <row r="11" spans="1:19" ht="29.4" customHeight="1" x14ac:dyDescent="0.2">
      <c r="A11" s="99" t="b" cm="1">
        <f t="array" aca="1" ref="A11" ca="1">SUMPRODUCT(--ISNUMBER(SEARCH(MID("ABCDEFGHIJKLMNOPQRSTUVWXYZabcdefghijklmnopqrstuvwxyz",ROW(INDIRECT("1:52")),1),D11)))&gt;0</f>
        <v>0</v>
      </c>
      <c r="B11" s="100" t="s">
        <v>88</v>
      </c>
      <c r="C11" s="100" t="s">
        <v>89</v>
      </c>
      <c r="D11" s="118"/>
      <c r="E11" s="119"/>
      <c r="F11" s="119"/>
      <c r="G11" s="101"/>
      <c r="H11" s="98" t="s">
        <v>81</v>
      </c>
      <c r="I11" s="38"/>
      <c r="M11" s="3"/>
      <c r="N11" s="3"/>
      <c r="O11" s="3"/>
      <c r="P11" s="3"/>
      <c r="Q11" s="3"/>
      <c r="R11" s="3"/>
      <c r="S11" s="3"/>
    </row>
    <row r="12" spans="1:19" ht="29.4" customHeight="1" x14ac:dyDescent="0.2">
      <c r="A12" s="99" t="b" cm="1">
        <f t="array" aca="1" ref="A12" ca="1">SUMPRODUCT(--ISNUMBER(SEARCH(MID("ABCDEFGHIJKLMNOPQRSTUVWXYZabcdefghijklmnopqrstuvwxyz",ROW(INDIRECT("1:52")),1),D12)))&gt;0</f>
        <v>0</v>
      </c>
      <c r="B12" s="100" t="s">
        <v>90</v>
      </c>
      <c r="C12" s="100" t="s">
        <v>91</v>
      </c>
      <c r="D12" s="118"/>
      <c r="E12" s="119"/>
      <c r="F12" s="119"/>
      <c r="G12" s="101"/>
      <c r="H12" s="98" t="s">
        <v>81</v>
      </c>
      <c r="I12" s="38"/>
      <c r="M12" s="3"/>
      <c r="N12" s="3"/>
      <c r="O12" s="3"/>
      <c r="P12" s="3"/>
      <c r="Q12" s="3"/>
      <c r="R12" s="3"/>
      <c r="S12" s="3"/>
    </row>
    <row r="13" spans="1:19" ht="29.4" customHeight="1" x14ac:dyDescent="0.2">
      <c r="A13" s="99" t="b" cm="1">
        <f t="array" aca="1" ref="A13" ca="1">SUMPRODUCT(--ISNUMBER(SEARCH(MID("ABCDEFGHIJKLMNOPQRSTUVWXYZabcdefghijklmnopqrstuvwxyz",ROW(INDIRECT("1:52")),1),D13)))&gt;0</f>
        <v>0</v>
      </c>
      <c r="B13" s="100" t="s">
        <v>92</v>
      </c>
      <c r="C13" s="100" t="s">
        <v>93</v>
      </c>
      <c r="D13" s="118"/>
      <c r="E13" s="119"/>
      <c r="F13" s="119"/>
      <c r="G13" s="101"/>
      <c r="H13" s="98" t="s">
        <v>81</v>
      </c>
      <c r="I13" s="38"/>
      <c r="M13" s="3"/>
      <c r="N13" s="3"/>
      <c r="O13" s="3"/>
      <c r="P13" s="3"/>
      <c r="Q13" s="3"/>
      <c r="R13" s="3"/>
      <c r="S13" s="3"/>
    </row>
    <row r="14" spans="1:19" ht="29.4" customHeight="1" x14ac:dyDescent="0.2">
      <c r="A14" s="99" t="b" cm="1">
        <f t="array" aca="1" ref="A14" ca="1">SUMPRODUCT(--ISNUMBER(SEARCH(MID("ABCDEFGHIJKLMNOPQRSTUVWXYZabcdefghijklmnopqrstuvwxyz",ROW(INDIRECT("1:52")),1),D14)))&gt;0</f>
        <v>0</v>
      </c>
      <c r="B14" s="100" t="s">
        <v>94</v>
      </c>
      <c r="C14" s="95"/>
      <c r="D14" s="120"/>
      <c r="E14" s="121"/>
      <c r="F14" s="121"/>
      <c r="G14" s="101"/>
      <c r="H14" s="98" t="s">
        <v>71</v>
      </c>
      <c r="I14" s="38"/>
      <c r="M14" s="3"/>
      <c r="N14" s="3"/>
      <c r="O14" s="3"/>
      <c r="P14" s="3"/>
      <c r="Q14" s="3"/>
      <c r="R14" s="3"/>
      <c r="S14" s="3"/>
    </row>
    <row r="15" spans="1:19" x14ac:dyDescent="0.2">
      <c r="A15" s="126"/>
      <c r="B15" s="126"/>
      <c r="C15" s="126"/>
      <c r="D15" s="126"/>
      <c r="E15" s="126"/>
      <c r="F15" s="126"/>
      <c r="G15" s="126"/>
      <c r="H15" s="126"/>
      <c r="I15" s="38"/>
      <c r="M15" s="3"/>
      <c r="N15" s="3"/>
      <c r="O15" s="3"/>
      <c r="P15" s="3"/>
      <c r="Q15" s="3"/>
      <c r="R15" s="3"/>
      <c r="S15" s="3"/>
    </row>
    <row r="16" spans="1:19" ht="29.4" customHeight="1" x14ac:dyDescent="0.2">
      <c r="A16" s="116" t="s">
        <v>64</v>
      </c>
      <c r="B16" s="117"/>
      <c r="C16" s="97" t="s">
        <v>65</v>
      </c>
      <c r="D16" s="116" t="s">
        <v>95</v>
      </c>
      <c r="E16" s="117"/>
      <c r="F16" s="117"/>
      <c r="G16" s="88" t="s">
        <v>67</v>
      </c>
      <c r="H16" s="97" t="s">
        <v>68</v>
      </c>
      <c r="I16" s="38"/>
      <c r="M16" s="3"/>
      <c r="N16" s="3"/>
      <c r="O16" s="3"/>
      <c r="P16" s="3"/>
      <c r="Q16" s="3"/>
      <c r="R16" s="3"/>
      <c r="S16" s="3"/>
    </row>
    <row r="17" spans="1:19" ht="29.4" customHeight="1" x14ac:dyDescent="0.2">
      <c r="A17" s="99" t="b" cm="1">
        <f t="array" aca="1" ref="A17" ca="1">SUMPRODUCT(--ISNUMBER(SEARCH(MID("ABCDEFGHIJKLMNOPQRSTUVWXYZabcdefghijklmnopqrstuvwxyz",ROW(INDIRECT("1:52")),1),D17)))&gt;0</f>
        <v>0</v>
      </c>
      <c r="B17" s="100" t="s">
        <v>96</v>
      </c>
      <c r="C17" s="100" t="s">
        <v>97</v>
      </c>
      <c r="D17" s="115"/>
      <c r="E17" s="129"/>
      <c r="F17" s="129"/>
      <c r="G17" s="101"/>
      <c r="H17" s="98" t="s">
        <v>81</v>
      </c>
      <c r="I17" s="38"/>
      <c r="M17" s="3"/>
      <c r="N17" s="3"/>
      <c r="O17" s="3"/>
      <c r="P17" s="3"/>
      <c r="Q17" s="3"/>
      <c r="R17" s="3"/>
      <c r="S17" s="3"/>
    </row>
    <row r="18" spans="1:19" ht="29.4" customHeight="1" x14ac:dyDescent="0.2">
      <c r="A18" s="99" t="b" cm="1">
        <f t="array" aca="1" ref="A18" ca="1">SUMPRODUCT(--ISNUMBER(SEARCH(MID("ABCDEFGHIJKLMNOPQRSTUVWXYZabcdefghijklmnopqrstuvwxyz",ROW(INDIRECT("1:52")),1),D18)))&gt;0</f>
        <v>0</v>
      </c>
      <c r="B18" s="100" t="s">
        <v>98</v>
      </c>
      <c r="C18" s="100" t="s">
        <v>99</v>
      </c>
      <c r="D18" s="131"/>
      <c r="E18" s="132"/>
      <c r="F18" s="133"/>
      <c r="G18" s="101"/>
      <c r="H18" s="98" t="s">
        <v>81</v>
      </c>
      <c r="I18" s="38"/>
      <c r="J18" s="3"/>
      <c r="K18" s="3"/>
      <c r="M18" s="3"/>
      <c r="N18" s="3"/>
      <c r="O18" s="3"/>
      <c r="P18" s="3"/>
      <c r="Q18" s="3"/>
      <c r="R18" s="3"/>
      <c r="S18" s="3"/>
    </row>
    <row r="19" spans="1:19" ht="29.4" customHeight="1" x14ac:dyDescent="0.2">
      <c r="A19" s="99" t="b" cm="1">
        <f t="array" aca="1" ref="A19" ca="1">SUMPRODUCT(--ISNUMBER(SEARCH(MID("ABCDEFGHIJKLMNOPQRSTUVWXYZabcdefghijklmnopqrstuvwxyz",ROW(INDIRECT("1:52")),1),D19)))&gt;0</f>
        <v>0</v>
      </c>
      <c r="B19" s="100" t="s">
        <v>100</v>
      </c>
      <c r="C19" s="100" t="s">
        <v>101</v>
      </c>
      <c r="D19" s="115"/>
      <c r="E19" s="129"/>
      <c r="F19" s="129"/>
      <c r="G19" s="101"/>
      <c r="H19" s="98" t="s">
        <v>81</v>
      </c>
      <c r="I19" s="38"/>
      <c r="J19" s="3"/>
      <c r="K19" s="3"/>
    </row>
    <row r="20" spans="1:19" ht="29.4" customHeight="1" x14ac:dyDescent="0.2">
      <c r="A20" s="99" t="b" cm="1">
        <f t="array" aca="1" ref="A20" ca="1">SUMPRODUCT(--ISNUMBER(SEARCH(MID("ABCDEFGHIJKLMNOPQRSTUVWXYZabcdefghijklmnopqrstuvwxyz",ROW(INDIRECT("1:52")),1),D20)))&gt;0</f>
        <v>0</v>
      </c>
      <c r="B20" s="100" t="s">
        <v>102</v>
      </c>
      <c r="C20" s="100" t="s">
        <v>103</v>
      </c>
      <c r="D20" s="115"/>
      <c r="E20" s="129"/>
      <c r="F20" s="129"/>
      <c r="G20" s="101"/>
      <c r="H20" s="98" t="s">
        <v>81</v>
      </c>
      <c r="I20" s="38"/>
      <c r="J20" s="3"/>
      <c r="K20" s="3"/>
    </row>
    <row r="21" spans="1:19" ht="29.4" customHeight="1" x14ac:dyDescent="0.3">
      <c r="A21" s="99" t="b" cm="1">
        <f t="array" aca="1" ref="A21" ca="1">SUMPRODUCT(--ISNUMBER(SEARCH(MID("ABCDEFGHIJKLMNOPQRSTUVWXYZabcdefghijklmnopqrstuvwxyz",ROW(INDIRECT("1:52")),1),D21)))&gt;0</f>
        <v>0</v>
      </c>
      <c r="B21" s="100" t="s">
        <v>104</v>
      </c>
      <c r="C21" s="100" t="s">
        <v>105</v>
      </c>
      <c r="D21" s="131"/>
      <c r="E21" s="132"/>
      <c r="F21" s="133"/>
      <c r="G21" s="101"/>
      <c r="H21" s="98" t="s">
        <v>81</v>
      </c>
      <c r="I21" s="38"/>
    </row>
    <row r="22" spans="1:19" ht="29.4" customHeight="1" x14ac:dyDescent="0.3">
      <c r="A22" s="130" t="str">
        <f>IF(AND(ISNUMBER(G22), G22&gt;=1, G22&lt;=15), "TRUE", "FALSE")</f>
        <v>FALSE</v>
      </c>
      <c r="B22" s="128" t="s">
        <v>106</v>
      </c>
      <c r="C22" s="128" t="s">
        <v>107</v>
      </c>
      <c r="D22" s="115"/>
      <c r="E22" s="110" t="s">
        <v>108</v>
      </c>
      <c r="F22" s="98"/>
      <c r="G22" s="127"/>
      <c r="H22" s="115" t="s">
        <v>81</v>
      </c>
      <c r="I22" s="38"/>
    </row>
    <row r="23" spans="1:19" ht="29.4" customHeight="1" x14ac:dyDescent="0.3">
      <c r="A23" s="130"/>
      <c r="B23" s="128"/>
      <c r="C23" s="128"/>
      <c r="D23" s="115"/>
      <c r="E23" s="110" t="s">
        <v>109</v>
      </c>
      <c r="F23" s="98" t="s">
        <v>110</v>
      </c>
      <c r="G23" s="127"/>
      <c r="H23" s="115"/>
      <c r="I23" s="38"/>
    </row>
    <row r="24" spans="1:19" s="12" customFormat="1" x14ac:dyDescent="0.2">
      <c r="A24" s="16"/>
      <c r="B24" s="36"/>
      <c r="C24" s="16"/>
      <c r="D24" s="16"/>
      <c r="E24" s="16"/>
      <c r="F24" s="16"/>
      <c r="G24" s="89"/>
      <c r="H24" s="3"/>
      <c r="I24" s="3"/>
      <c r="J24" s="3"/>
      <c r="K24" s="3"/>
      <c r="L24" s="3"/>
      <c r="M24" s="3"/>
      <c r="N24" s="3"/>
      <c r="O24" s="3"/>
      <c r="P24" s="3"/>
      <c r="Q24" s="3"/>
      <c r="R24" s="3"/>
      <c r="S24" s="3"/>
    </row>
    <row r="25" spans="1:19" ht="29.4" customHeight="1" x14ac:dyDescent="0.2">
      <c r="A25" s="16"/>
      <c r="B25" s="36"/>
      <c r="C25" s="16"/>
      <c r="D25" s="16"/>
      <c r="E25" s="16"/>
      <c r="F25" s="37"/>
      <c r="G25" s="90" t="s">
        <v>111</v>
      </c>
      <c r="H25" s="96" t="s">
        <v>112</v>
      </c>
      <c r="I25" s="38"/>
    </row>
    <row r="26" spans="1:19" ht="29.4" customHeight="1" x14ac:dyDescent="0.2">
      <c r="A26" s="16"/>
      <c r="B26" s="36"/>
      <c r="C26" s="16"/>
      <c r="D26" s="16"/>
      <c r="E26" s="16"/>
      <c r="F26" s="37"/>
      <c r="G26" s="101" t="str" cm="1">
        <f t="array" ref="G26">SUMPRODUCT(--ISNUMBER(G4:G22),
            --(G4:G22&gt;=1),
            --(G4:G22&lt;=19),
            --(H4:H22="Minor"))
&amp; "x Minor, " &amp;
SUMPRODUCT(--ISNUMBER(G4:G22),
            --(G4:G22&gt;=1),
            --(G4:G22&lt;=19),
            --(H4:H22="Major"))
&amp; "x Major"</f>
        <v>0x Minor, 0x Major</v>
      </c>
      <c r="H26" s="69" t="str">
        <f>_xlfn.LET(
 _xlpm.txt, G26,
 _xlpm.minor, VALUE(LEFT(_xlpm.txt, FIND("x Minor", _xlpm.txt)-1)),
 _xlpm.major, VALUE(MID(_xlpm.txt, FIND(",", _xlpm.txt)+2, FIND("x Major", _xlpm.txt)-FIND(",", _xlpm.txt)-2)),
 IF(
   _xlpm.major=0,
      IF(_xlpm.minor&lt;=2, "Category A",
         IF(_xlpm.minor&lt;=6, "Category B", "Category C")),
   IF(
     _xlpm.major=1,
        IF(_xlpm.minor&lt;=5, "Category B", "Category C"),
   IF(
     _xlpm.major=2,
        IF(_xlpm.minor&lt;=3, "Category B", "Category C"),
   IF(
     _xlpm.major=3,
        IF(_xlpm.minor&lt;=1, "Category B", "Category C"),
   "Category C"))))
)</f>
        <v>Category A</v>
      </c>
      <c r="I26" s="38"/>
    </row>
    <row r="27" spans="1:19" x14ac:dyDescent="0.2">
      <c r="A27" s="13"/>
      <c r="B27" s="13"/>
      <c r="C27" s="13"/>
      <c r="D27" s="13"/>
      <c r="E27" s="13"/>
      <c r="F27" s="13"/>
      <c r="G27" s="89"/>
      <c r="H27" s="3"/>
    </row>
    <row r="34" spans="1:3" ht="15" customHeight="1" x14ac:dyDescent="0.3">
      <c r="A34" s="14"/>
      <c r="B34" s="15"/>
      <c r="C34" s="15"/>
    </row>
  </sheetData>
  <mergeCells count="29">
    <mergeCell ref="A1:B1"/>
    <mergeCell ref="D4:F4"/>
    <mergeCell ref="A16:B16"/>
    <mergeCell ref="D19:F19"/>
    <mergeCell ref="A22:A23"/>
    <mergeCell ref="D3:F3"/>
    <mergeCell ref="D18:F18"/>
    <mergeCell ref="D21:F21"/>
    <mergeCell ref="D5:F5"/>
    <mergeCell ref="D6:F6"/>
    <mergeCell ref="D17:F17"/>
    <mergeCell ref="C22:C23"/>
    <mergeCell ref="D22:D23"/>
    <mergeCell ref="H22:H23"/>
    <mergeCell ref="D1:F1"/>
    <mergeCell ref="D12:F12"/>
    <mergeCell ref="D10:F10"/>
    <mergeCell ref="D16:F16"/>
    <mergeCell ref="D2:F2"/>
    <mergeCell ref="D11:F11"/>
    <mergeCell ref="D8:F8"/>
    <mergeCell ref="D7:F7"/>
    <mergeCell ref="D14:F14"/>
    <mergeCell ref="D13:F13"/>
    <mergeCell ref="A15:H15"/>
    <mergeCell ref="G22:G23"/>
    <mergeCell ref="D9:F9"/>
    <mergeCell ref="B22:B23"/>
    <mergeCell ref="D20:F20"/>
  </mergeCells>
  <conditionalFormatting sqref="A34:C34">
    <cfRule type="notContainsBlanks" dxfId="0" priority="1">
      <formula>LEN(TRIM(A34))&gt;0</formula>
    </cfRule>
  </conditionalFormatting>
  <pageMargins left="0.25" right="0.25" top="0.75" bottom="0.75" header="0" footer="0"/>
  <pageSetup orientation="landscape" r:id="rId1"/>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B6741-54B2-4C7B-89F4-BF4335785E16}">
  <dimension ref="A1:I23"/>
  <sheetViews>
    <sheetView zoomScaleNormal="100" workbookViewId="0">
      <selection activeCell="F3" sqref="F3:I3"/>
    </sheetView>
  </sheetViews>
  <sheetFormatPr defaultColWidth="11" defaultRowHeight="10.199999999999999" x14ac:dyDescent="0.3"/>
  <cols>
    <col min="1" max="1" width="9.77734375" style="27" customWidth="1"/>
    <col min="2" max="2" width="11.77734375" style="27" customWidth="1"/>
    <col min="3" max="3" width="35.77734375" style="25" customWidth="1"/>
    <col min="4" max="4" width="11.77734375" style="27" customWidth="1"/>
    <col min="5" max="5" width="37.77734375" style="31" customWidth="1"/>
    <col min="6" max="6" width="11.77734375" style="27" customWidth="1"/>
    <col min="7" max="8" width="9.77734375" style="25" customWidth="1"/>
    <col min="9" max="9" width="48.77734375" style="25" customWidth="1"/>
    <col min="10" max="10" width="11" style="25"/>
    <col min="11" max="11" width="34.109375" style="25" customWidth="1"/>
    <col min="12" max="16384" width="11" style="25"/>
  </cols>
  <sheetData>
    <row r="1" spans="1:9" ht="29.25" customHeight="1" x14ac:dyDescent="0.3">
      <c r="A1" s="135" t="s">
        <v>113</v>
      </c>
      <c r="B1" s="135"/>
      <c r="C1" s="135"/>
      <c r="D1" s="135"/>
      <c r="E1" s="135"/>
      <c r="F1" s="135"/>
      <c r="G1" s="135"/>
      <c r="H1" s="135"/>
      <c r="I1" s="135"/>
    </row>
    <row r="2" spans="1:9" x14ac:dyDescent="0.3">
      <c r="A2" s="26"/>
      <c r="B2" s="109"/>
      <c r="C2" s="109"/>
      <c r="D2" s="109"/>
      <c r="E2" s="24"/>
      <c r="F2" s="109"/>
      <c r="G2" s="109"/>
      <c r="H2" s="109"/>
      <c r="I2" s="109"/>
    </row>
    <row r="3" spans="1:9" ht="29.25" customHeight="1" x14ac:dyDescent="0.3">
      <c r="A3" s="39" t="s">
        <v>114</v>
      </c>
      <c r="B3" s="82"/>
      <c r="C3" s="41" t="s">
        <v>115</v>
      </c>
      <c r="D3" s="40" t="s">
        <v>116</v>
      </c>
      <c r="E3" s="41" t="s">
        <v>117</v>
      </c>
      <c r="F3" s="137" t="s">
        <v>118</v>
      </c>
      <c r="G3" s="137"/>
      <c r="H3" s="137"/>
      <c r="I3" s="137"/>
    </row>
    <row r="4" spans="1:9" ht="58.2" customHeight="1" x14ac:dyDescent="0.3">
      <c r="A4" s="139" t="s">
        <v>119</v>
      </c>
      <c r="B4" s="139"/>
      <c r="C4" s="139"/>
      <c r="D4" s="139"/>
      <c r="E4" s="139"/>
      <c r="F4" s="139"/>
      <c r="G4" s="139"/>
      <c r="H4" s="139"/>
      <c r="I4" s="139"/>
    </row>
    <row r="5" spans="1:9" ht="29.25" customHeight="1" x14ac:dyDescent="0.3">
      <c r="A5" s="39" t="s">
        <v>120</v>
      </c>
      <c r="B5" s="40" t="s">
        <v>121</v>
      </c>
      <c r="C5" s="41" t="s">
        <v>122</v>
      </c>
      <c r="D5" s="138" t="str">
        <f ca="1">CHOOSE(MONTH(TODAY()),
"January","February","March","April","May","June",
"July","August","September","October","November","December") &amp; " " &amp; YEAR(TODAY())</f>
        <v>April 2026</v>
      </c>
      <c r="E5" s="138"/>
      <c r="F5" s="138"/>
      <c r="G5" s="138"/>
      <c r="H5" s="138"/>
      <c r="I5" s="138"/>
    </row>
    <row r="6" spans="1:9" x14ac:dyDescent="0.3">
      <c r="A6" s="148"/>
      <c r="B6" s="148"/>
      <c r="C6" s="148"/>
      <c r="D6" s="148"/>
      <c r="E6" s="148"/>
      <c r="F6" s="148"/>
      <c r="G6" s="148"/>
      <c r="H6" s="148"/>
      <c r="I6" s="148"/>
    </row>
    <row r="7" spans="1:9" ht="92.1" customHeight="1" x14ac:dyDescent="0.3">
      <c r="A7" s="42" t="s">
        <v>123</v>
      </c>
      <c r="B7" s="106" t="s">
        <v>124</v>
      </c>
      <c r="C7" s="106" t="s">
        <v>125</v>
      </c>
      <c r="D7" s="106" t="s">
        <v>126</v>
      </c>
      <c r="E7" s="106" t="s">
        <v>127</v>
      </c>
      <c r="F7" s="106" t="s">
        <v>128</v>
      </c>
      <c r="G7" s="106" t="s">
        <v>129</v>
      </c>
      <c r="H7" s="106" t="s">
        <v>130</v>
      </c>
      <c r="I7" s="106" t="s">
        <v>131</v>
      </c>
    </row>
    <row r="8" spans="1:9" x14ac:dyDescent="0.3">
      <c r="A8" s="147"/>
      <c r="B8" s="147"/>
      <c r="C8" s="147"/>
      <c r="D8" s="147"/>
      <c r="E8" s="147"/>
      <c r="F8" s="147"/>
      <c r="G8" s="147"/>
      <c r="H8" s="147"/>
      <c r="I8" s="147"/>
    </row>
    <row r="9" spans="1:9" ht="43.35" customHeight="1" x14ac:dyDescent="0.3">
      <c r="A9" s="141">
        <v>1</v>
      </c>
      <c r="B9" s="136" t="s">
        <v>132</v>
      </c>
      <c r="C9" s="103" t="s">
        <v>133</v>
      </c>
      <c r="D9" s="87">
        <f ca="1">TODAY()</f>
        <v>46127</v>
      </c>
      <c r="E9" s="103"/>
      <c r="F9" s="104" t="s">
        <v>134</v>
      </c>
      <c r="G9" s="104" t="s">
        <v>135</v>
      </c>
      <c r="H9" s="104"/>
      <c r="I9" s="103" t="s">
        <v>136</v>
      </c>
    </row>
    <row r="10" spans="1:9" ht="25.2" customHeight="1" x14ac:dyDescent="0.3">
      <c r="A10" s="141"/>
      <c r="B10" s="136"/>
      <c r="C10" s="103" t="s">
        <v>137</v>
      </c>
      <c r="D10" s="87">
        <f t="shared" ref="D10:D18" ca="1" si="0">TODAY()</f>
        <v>46127</v>
      </c>
      <c r="E10" s="103"/>
      <c r="F10" s="104" t="s">
        <v>134</v>
      </c>
      <c r="G10" s="104" t="s">
        <v>135</v>
      </c>
      <c r="H10" s="104"/>
      <c r="I10" s="103" t="s">
        <v>138</v>
      </c>
    </row>
    <row r="11" spans="1:9" ht="45.9" customHeight="1" x14ac:dyDescent="0.3">
      <c r="A11" s="141"/>
      <c r="B11" s="136"/>
      <c r="C11" s="103" t="s">
        <v>139</v>
      </c>
      <c r="D11" s="87">
        <f t="shared" ca="1" si="0"/>
        <v>46127</v>
      </c>
      <c r="E11" s="103" t="s">
        <v>140</v>
      </c>
      <c r="F11" s="104" t="s">
        <v>134</v>
      </c>
      <c r="G11" s="104" t="s">
        <v>135</v>
      </c>
      <c r="H11" s="104"/>
      <c r="I11" s="103" t="s">
        <v>141</v>
      </c>
    </row>
    <row r="12" spans="1:9" x14ac:dyDescent="0.3">
      <c r="A12" s="145"/>
      <c r="B12" s="145"/>
      <c r="C12" s="145"/>
      <c r="D12" s="145"/>
      <c r="E12" s="145"/>
      <c r="F12" s="145"/>
      <c r="G12" s="145"/>
      <c r="H12" s="145"/>
      <c r="I12" s="145"/>
    </row>
    <row r="13" spans="1:9" ht="50.1" customHeight="1" x14ac:dyDescent="0.3">
      <c r="A13" s="107" t="s">
        <v>142</v>
      </c>
      <c r="B13" s="108" t="s">
        <v>143</v>
      </c>
      <c r="C13" s="46" t="s">
        <v>144</v>
      </c>
      <c r="D13" s="87">
        <f t="shared" ca="1" si="0"/>
        <v>46127</v>
      </c>
      <c r="E13" s="46" t="s">
        <v>145</v>
      </c>
      <c r="F13" s="108" t="s">
        <v>146</v>
      </c>
      <c r="G13" s="108" t="s">
        <v>135</v>
      </c>
      <c r="H13" s="108"/>
      <c r="I13" s="46" t="s">
        <v>147</v>
      </c>
    </row>
    <row r="14" spans="1:9" ht="9.75" customHeight="1" x14ac:dyDescent="0.3">
      <c r="A14" s="43"/>
      <c r="B14" s="44"/>
      <c r="C14" s="44"/>
      <c r="D14" s="45"/>
      <c r="E14" s="44"/>
      <c r="F14" s="45"/>
      <c r="G14" s="45"/>
      <c r="H14" s="45"/>
      <c r="I14" s="44"/>
    </row>
    <row r="15" spans="1:9" ht="73.5" customHeight="1" x14ac:dyDescent="0.3">
      <c r="A15" s="142" t="s">
        <v>148</v>
      </c>
      <c r="B15" s="143" t="s">
        <v>149</v>
      </c>
      <c r="C15" s="46" t="s">
        <v>150</v>
      </c>
      <c r="D15" s="87">
        <f t="shared" ca="1" si="0"/>
        <v>46127</v>
      </c>
      <c r="E15" s="46" t="s">
        <v>151</v>
      </c>
      <c r="F15" s="108" t="s">
        <v>134</v>
      </c>
      <c r="G15" s="108" t="s">
        <v>135</v>
      </c>
      <c r="H15" s="108"/>
      <c r="I15" s="46" t="s">
        <v>152</v>
      </c>
    </row>
    <row r="16" spans="1:9" ht="23.1" customHeight="1" x14ac:dyDescent="0.3">
      <c r="A16" s="142"/>
      <c r="B16" s="143"/>
      <c r="C16" s="47" t="s">
        <v>153</v>
      </c>
      <c r="D16" s="87">
        <f t="shared" ca="1" si="0"/>
        <v>46127</v>
      </c>
      <c r="E16" s="46"/>
      <c r="F16" s="108" t="s">
        <v>134</v>
      </c>
      <c r="G16" s="108" t="s">
        <v>135</v>
      </c>
      <c r="H16" s="46"/>
      <c r="I16" s="46" t="s">
        <v>154</v>
      </c>
    </row>
    <row r="17" spans="1:9" x14ac:dyDescent="0.3">
      <c r="A17" s="144"/>
      <c r="B17" s="144"/>
      <c r="C17" s="144"/>
      <c r="D17" s="144"/>
      <c r="E17" s="144"/>
      <c r="F17" s="144"/>
      <c r="G17" s="144"/>
      <c r="H17" s="144"/>
      <c r="I17" s="144"/>
    </row>
    <row r="18" spans="1:9" ht="45.75" customHeight="1" x14ac:dyDescent="0.3">
      <c r="A18" s="40" t="s">
        <v>155</v>
      </c>
      <c r="B18" s="104" t="s">
        <v>156</v>
      </c>
      <c r="C18" s="103" t="s">
        <v>157</v>
      </c>
      <c r="D18" s="87">
        <f t="shared" ca="1" si="0"/>
        <v>46127</v>
      </c>
      <c r="E18" s="103"/>
      <c r="F18" s="104" t="s">
        <v>134</v>
      </c>
      <c r="G18" s="104" t="s">
        <v>135</v>
      </c>
      <c r="H18" s="104"/>
      <c r="I18" s="103" t="s">
        <v>158</v>
      </c>
    </row>
    <row r="19" spans="1:9" x14ac:dyDescent="0.3">
      <c r="A19" s="146"/>
      <c r="B19" s="146"/>
      <c r="C19" s="146"/>
      <c r="D19" s="146"/>
      <c r="E19" s="146"/>
      <c r="F19" s="146"/>
      <c r="G19" s="146"/>
      <c r="H19" s="146"/>
      <c r="I19" s="146"/>
    </row>
    <row r="20" spans="1:9" ht="29.25" customHeight="1" x14ac:dyDescent="0.3">
      <c r="A20" s="140" t="s">
        <v>159</v>
      </c>
      <c r="B20" s="106" t="s">
        <v>160</v>
      </c>
      <c r="C20" s="103"/>
      <c r="D20" s="106" t="s">
        <v>161</v>
      </c>
      <c r="E20" s="103"/>
      <c r="F20" s="106" t="s">
        <v>162</v>
      </c>
      <c r="G20" s="136"/>
      <c r="H20" s="136"/>
      <c r="I20" s="105" t="s">
        <v>163</v>
      </c>
    </row>
    <row r="21" spans="1:9" ht="29.25" customHeight="1" x14ac:dyDescent="0.3">
      <c r="A21" s="140"/>
      <c r="B21" s="102" t="s">
        <v>164</v>
      </c>
      <c r="C21" s="67"/>
      <c r="D21" s="102" t="s">
        <v>164</v>
      </c>
      <c r="E21" s="67"/>
      <c r="F21" s="102" t="s">
        <v>164</v>
      </c>
      <c r="G21" s="149"/>
      <c r="H21" s="149"/>
      <c r="I21" s="136"/>
    </row>
    <row r="22" spans="1:9" ht="20.100000000000001" customHeight="1" x14ac:dyDescent="0.3">
      <c r="A22" s="140"/>
      <c r="B22" s="150" t="s">
        <v>165</v>
      </c>
      <c r="C22" s="151"/>
      <c r="D22" s="150" t="s">
        <v>165</v>
      </c>
      <c r="E22" s="151"/>
      <c r="F22" s="150" t="s">
        <v>165</v>
      </c>
      <c r="G22" s="151"/>
      <c r="H22" s="151"/>
      <c r="I22" s="136"/>
    </row>
    <row r="23" spans="1:9" ht="20.100000000000001" customHeight="1" x14ac:dyDescent="0.3">
      <c r="A23" s="140"/>
      <c r="B23" s="150"/>
      <c r="C23" s="151"/>
      <c r="D23" s="150"/>
      <c r="E23" s="151"/>
      <c r="F23" s="150"/>
      <c r="G23" s="151"/>
      <c r="H23" s="151"/>
      <c r="I23" s="136"/>
    </row>
  </sheetData>
  <mergeCells count="23">
    <mergeCell ref="G21:H21"/>
    <mergeCell ref="B22:B23"/>
    <mergeCell ref="C22:C23"/>
    <mergeCell ref="D22:D23"/>
    <mergeCell ref="E22:E23"/>
    <mergeCell ref="F22:F23"/>
    <mergeCell ref="G22:H23"/>
    <mergeCell ref="A1:I1"/>
    <mergeCell ref="G20:H20"/>
    <mergeCell ref="F3:I3"/>
    <mergeCell ref="D5:I5"/>
    <mergeCell ref="A4:I4"/>
    <mergeCell ref="A20:A23"/>
    <mergeCell ref="A9:A11"/>
    <mergeCell ref="B9:B11"/>
    <mergeCell ref="A15:A16"/>
    <mergeCell ref="B15:B16"/>
    <mergeCell ref="A17:I17"/>
    <mergeCell ref="A12:I12"/>
    <mergeCell ref="A19:I19"/>
    <mergeCell ref="A8:I8"/>
    <mergeCell ref="A6:I6"/>
    <mergeCell ref="I21:I23"/>
  </mergeCells>
  <pageMargins left="0.7" right="0.7" top="0.75" bottom="0.75" header="0.3" footer="0.3"/>
  <pageSetup paperSize="9"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5"/>
  <sheetViews>
    <sheetView showGridLines="0" zoomScaleNormal="100" workbookViewId="0">
      <selection activeCell="E5" sqref="E5"/>
    </sheetView>
  </sheetViews>
  <sheetFormatPr defaultColWidth="15.5546875" defaultRowHeight="15" customHeight="1" x14ac:dyDescent="0.2"/>
  <cols>
    <col min="1" max="1" width="10" style="23" customWidth="1"/>
    <col min="2" max="7" width="10" style="18" customWidth="1"/>
    <col min="8" max="8" width="10" style="32" customWidth="1"/>
    <col min="9" max="9" width="2.77734375" style="16" customWidth="1"/>
    <col min="10" max="10" width="10" style="17" customWidth="1"/>
    <col min="11" max="18" width="10" style="18" customWidth="1"/>
    <col min="19" max="19" width="15.5546875" style="18" customWidth="1"/>
    <col min="20" max="16384" width="15.5546875" style="18"/>
  </cols>
  <sheetData>
    <row r="1" spans="1:21" ht="29.25" customHeight="1" x14ac:dyDescent="0.2">
      <c r="A1" s="116" t="s">
        <v>166</v>
      </c>
      <c r="B1" s="116"/>
      <c r="C1" s="116"/>
      <c r="D1" s="116"/>
      <c r="E1" s="116"/>
      <c r="F1" s="116"/>
      <c r="G1" s="116"/>
      <c r="H1" s="116"/>
      <c r="J1" s="160" t="s">
        <v>167</v>
      </c>
      <c r="K1" s="160"/>
      <c r="L1" s="160"/>
      <c r="M1" s="160"/>
      <c r="N1" s="160"/>
      <c r="O1" s="160"/>
      <c r="P1" s="160"/>
      <c r="Q1" s="160"/>
      <c r="R1" s="160"/>
      <c r="S1" s="158"/>
      <c r="T1" s="159"/>
    </row>
    <row r="2" spans="1:21" ht="29.25" customHeight="1" x14ac:dyDescent="0.2">
      <c r="A2" s="153" t="s">
        <v>168</v>
      </c>
      <c r="B2" s="153" t="s">
        <v>169</v>
      </c>
      <c r="C2" s="153" t="s">
        <v>170</v>
      </c>
      <c r="D2" s="153" t="s">
        <v>171</v>
      </c>
      <c r="E2" s="153" t="s">
        <v>172</v>
      </c>
      <c r="F2" s="153" t="s">
        <v>173</v>
      </c>
      <c r="G2" s="153" t="s">
        <v>174</v>
      </c>
      <c r="H2" s="110" t="s">
        <v>175</v>
      </c>
      <c r="J2" s="153" t="s">
        <v>168</v>
      </c>
      <c r="K2" s="153" t="s">
        <v>169</v>
      </c>
      <c r="L2" s="153" t="s">
        <v>170</v>
      </c>
      <c r="M2" s="153" t="s">
        <v>171</v>
      </c>
      <c r="N2" s="153" t="s">
        <v>172</v>
      </c>
      <c r="O2" s="153" t="s">
        <v>173</v>
      </c>
      <c r="P2" s="153" t="s">
        <v>174</v>
      </c>
      <c r="Q2" s="153" t="s">
        <v>175</v>
      </c>
      <c r="R2" s="153"/>
      <c r="S2" s="17"/>
    </row>
    <row r="3" spans="1:21" ht="29.25" customHeight="1" x14ac:dyDescent="0.2">
      <c r="A3" s="153"/>
      <c r="B3" s="153"/>
      <c r="C3" s="153"/>
      <c r="D3" s="153"/>
      <c r="E3" s="153"/>
      <c r="F3" s="153"/>
      <c r="G3" s="153"/>
      <c r="H3" s="58" t="s">
        <v>176</v>
      </c>
      <c r="J3" s="153"/>
      <c r="K3" s="153"/>
      <c r="L3" s="153"/>
      <c r="M3" s="153"/>
      <c r="N3" s="153"/>
      <c r="O3" s="153"/>
      <c r="P3" s="153"/>
      <c r="Q3" s="58" t="s">
        <v>176</v>
      </c>
      <c r="R3" s="58" t="s">
        <v>177</v>
      </c>
      <c r="S3" s="17"/>
    </row>
    <row r="4" spans="1:21" ht="29.25" customHeight="1" x14ac:dyDescent="0.2">
      <c r="A4" s="77"/>
      <c r="B4" s="78"/>
      <c r="C4" s="73"/>
      <c r="D4" s="78"/>
      <c r="E4" s="78"/>
      <c r="F4" s="78"/>
      <c r="G4" s="73"/>
      <c r="H4" s="73"/>
      <c r="I4" s="35"/>
      <c r="J4" s="77"/>
      <c r="K4" s="78"/>
      <c r="L4" s="73"/>
      <c r="M4" s="73"/>
      <c r="N4" s="73"/>
      <c r="O4" s="73"/>
      <c r="P4" s="78"/>
      <c r="Q4" s="73"/>
      <c r="R4" s="73"/>
      <c r="S4" s="17"/>
    </row>
    <row r="5" spans="1:21" ht="29.25" customHeight="1" x14ac:dyDescent="0.2">
      <c r="A5" s="59" t="s">
        <v>183</v>
      </c>
      <c r="B5" s="79"/>
      <c r="C5" s="80"/>
      <c r="D5" s="80"/>
      <c r="E5" s="80"/>
      <c r="F5" s="80"/>
      <c r="G5" s="80"/>
      <c r="H5" s="80"/>
      <c r="I5" s="35"/>
      <c r="J5" s="59" t="s">
        <v>183</v>
      </c>
      <c r="K5" s="81"/>
      <c r="L5" s="80"/>
      <c r="M5" s="80"/>
      <c r="N5" s="80"/>
      <c r="O5" s="80"/>
      <c r="P5" s="80"/>
      <c r="Q5" s="80"/>
      <c r="R5" s="80"/>
      <c r="S5" s="17"/>
    </row>
    <row r="6" spans="1:21" s="33" customFormat="1" ht="29.25" customHeight="1" x14ac:dyDescent="0.2">
      <c r="A6" s="61" t="s">
        <v>184</v>
      </c>
      <c r="B6" s="60"/>
      <c r="C6" s="62"/>
      <c r="D6" s="62"/>
      <c r="E6" s="62"/>
      <c r="F6" s="62"/>
      <c r="G6" s="75"/>
      <c r="H6" s="75"/>
      <c r="I6" s="16"/>
      <c r="J6" s="63" t="s">
        <v>184</v>
      </c>
      <c r="K6" s="64"/>
      <c r="L6" s="62"/>
      <c r="M6" s="62"/>
      <c r="N6" s="62"/>
      <c r="O6" s="62"/>
      <c r="P6" s="75"/>
      <c r="Q6" s="75"/>
      <c r="R6" s="62"/>
      <c r="S6" s="28"/>
    </row>
    <row r="7" spans="1:21" s="16" customFormat="1" ht="9.75" customHeight="1" x14ac:dyDescent="0.25">
      <c r="A7" s="35"/>
      <c r="G7" s="74"/>
      <c r="H7" s="74"/>
      <c r="P7" s="74"/>
      <c r="Q7" s="74"/>
    </row>
    <row r="8" spans="1:21" s="34" customFormat="1" ht="29.25" customHeight="1" x14ac:dyDescent="0.2">
      <c r="A8" s="154" t="s">
        <v>185</v>
      </c>
      <c r="B8" s="154"/>
      <c r="C8" s="154"/>
      <c r="D8" s="154"/>
      <c r="E8" s="154"/>
      <c r="F8" s="154"/>
      <c r="G8" s="76"/>
      <c r="H8" s="76"/>
      <c r="I8" s="16"/>
      <c r="J8" s="154" t="s">
        <v>185</v>
      </c>
      <c r="K8" s="154"/>
      <c r="L8" s="154"/>
      <c r="M8" s="154"/>
      <c r="N8" s="154"/>
      <c r="O8" s="154"/>
      <c r="P8" s="76"/>
      <c r="Q8" s="76"/>
      <c r="R8" s="65"/>
      <c r="S8" s="30"/>
    </row>
    <row r="9" spans="1:21" ht="29.25" customHeight="1" x14ac:dyDescent="0.2">
      <c r="A9" s="154" t="s">
        <v>186</v>
      </c>
      <c r="B9" s="154"/>
      <c r="C9" s="154"/>
      <c r="D9" s="154"/>
      <c r="E9" s="154"/>
      <c r="F9" s="154"/>
      <c r="G9" s="76"/>
      <c r="H9" s="76"/>
      <c r="J9" s="154" t="s">
        <v>186</v>
      </c>
      <c r="K9" s="154"/>
      <c r="L9" s="154"/>
      <c r="M9" s="154"/>
      <c r="N9" s="154"/>
      <c r="O9" s="154"/>
      <c r="P9" s="76"/>
      <c r="Q9" s="76"/>
      <c r="R9" s="65"/>
      <c r="S9" s="17"/>
    </row>
    <row r="10" spans="1:21" ht="29.25" customHeight="1" x14ac:dyDescent="0.2">
      <c r="A10" s="154" t="s">
        <v>187</v>
      </c>
      <c r="B10" s="154"/>
      <c r="C10" s="154"/>
      <c r="D10" s="154"/>
      <c r="E10" s="154"/>
      <c r="F10" s="154"/>
      <c r="G10" s="76"/>
      <c r="H10" s="76"/>
      <c r="J10" s="154" t="s">
        <v>187</v>
      </c>
      <c r="K10" s="154"/>
      <c r="L10" s="154"/>
      <c r="M10" s="154"/>
      <c r="N10" s="154"/>
      <c r="O10" s="154"/>
      <c r="P10" s="76"/>
      <c r="Q10" s="76"/>
      <c r="R10" s="65"/>
      <c r="S10" s="17"/>
    </row>
    <row r="11" spans="1:21" ht="29.25" customHeight="1" x14ac:dyDescent="0.2">
      <c r="A11" s="154" t="s">
        <v>188</v>
      </c>
      <c r="B11" s="154"/>
      <c r="C11" s="154"/>
      <c r="D11" s="154"/>
      <c r="E11" s="154"/>
      <c r="F11" s="154"/>
      <c r="G11" s="76"/>
      <c r="H11" s="75"/>
      <c r="J11" s="154" t="s">
        <v>188</v>
      </c>
      <c r="K11" s="154"/>
      <c r="L11" s="154"/>
      <c r="M11" s="154"/>
      <c r="N11" s="154"/>
      <c r="O11" s="154"/>
      <c r="P11" s="76"/>
      <c r="Q11" s="76"/>
      <c r="R11" s="65"/>
      <c r="S11" s="17"/>
    </row>
    <row r="12" spans="1:21" ht="29.25" customHeight="1" x14ac:dyDescent="0.2">
      <c r="A12" s="155" t="s">
        <v>189</v>
      </c>
      <c r="B12" s="156"/>
      <c r="C12" s="156"/>
      <c r="D12" s="156"/>
      <c r="E12" s="156"/>
      <c r="F12" s="156"/>
      <c r="G12" s="156"/>
      <c r="H12" s="157"/>
      <c r="J12" s="154" t="s">
        <v>190</v>
      </c>
      <c r="K12" s="154"/>
      <c r="L12" s="154"/>
      <c r="M12" s="154"/>
      <c r="N12" s="154"/>
      <c r="O12" s="154"/>
      <c r="P12" s="66"/>
      <c r="Q12" s="66"/>
      <c r="R12" s="111" t="s">
        <v>6</v>
      </c>
      <c r="S12" s="28"/>
      <c r="T12" s="33"/>
    </row>
    <row r="13" spans="1:21" ht="15" customHeight="1" x14ac:dyDescent="0.2">
      <c r="A13" s="155" t="s">
        <v>191</v>
      </c>
      <c r="B13" s="156"/>
      <c r="C13" s="156"/>
      <c r="D13" s="156"/>
      <c r="E13" s="156"/>
      <c r="F13" s="156"/>
      <c r="G13" s="156"/>
      <c r="H13" s="156"/>
      <c r="I13" s="156"/>
      <c r="J13" s="156"/>
      <c r="K13" s="156"/>
      <c r="L13" s="156"/>
      <c r="M13" s="156"/>
      <c r="N13" s="156"/>
      <c r="O13" s="156"/>
      <c r="P13" s="156"/>
      <c r="Q13" s="156"/>
      <c r="R13" s="157"/>
      <c r="S13" s="16"/>
      <c r="T13" s="16"/>
      <c r="U13" s="17"/>
    </row>
    <row r="14" spans="1:21" ht="15" customHeight="1" x14ac:dyDescent="0.2">
      <c r="A14" s="152" t="s">
        <v>192</v>
      </c>
      <c r="B14" s="152"/>
      <c r="C14" s="152"/>
      <c r="D14" s="152"/>
      <c r="E14" s="152"/>
      <c r="F14" s="152"/>
      <c r="G14" s="152"/>
      <c r="H14" s="152"/>
      <c r="I14" s="152"/>
      <c r="J14" s="152"/>
      <c r="K14" s="152"/>
      <c r="L14" s="152"/>
      <c r="M14" s="152"/>
      <c r="N14" s="152"/>
      <c r="O14" s="152"/>
      <c r="P14" s="152"/>
      <c r="Q14" s="152"/>
      <c r="R14" s="152"/>
      <c r="S14" s="30"/>
      <c r="T14" s="34"/>
    </row>
    <row r="15" spans="1:21" ht="15" customHeight="1" x14ac:dyDescent="0.2">
      <c r="A15" s="48"/>
      <c r="B15" s="34"/>
      <c r="C15" s="34"/>
      <c r="D15" s="34"/>
      <c r="E15" s="34"/>
      <c r="F15" s="34"/>
      <c r="G15" s="34"/>
      <c r="H15" s="29"/>
      <c r="J15" s="30"/>
      <c r="K15" s="34"/>
      <c r="L15" s="34"/>
      <c r="M15" s="34"/>
      <c r="N15" s="34"/>
      <c r="O15" s="34"/>
      <c r="P15" s="34"/>
      <c r="Q15" s="34"/>
      <c r="R15" s="34"/>
    </row>
  </sheetData>
  <mergeCells count="30">
    <mergeCell ref="A12:H12"/>
    <mergeCell ref="A13:R13"/>
    <mergeCell ref="S1:T1"/>
    <mergeCell ref="J8:O8"/>
    <mergeCell ref="G2:G3"/>
    <mergeCell ref="M2:M3"/>
    <mergeCell ref="B2:B3"/>
    <mergeCell ref="A1:H1"/>
    <mergeCell ref="N2:N3"/>
    <mergeCell ref="D2:D3"/>
    <mergeCell ref="F2:F3"/>
    <mergeCell ref="J1:R1"/>
    <mergeCell ref="K2:K3"/>
    <mergeCell ref="Q2:R2"/>
    <mergeCell ref="A14:R14"/>
    <mergeCell ref="O2:O3"/>
    <mergeCell ref="J12:O12"/>
    <mergeCell ref="A10:F10"/>
    <mergeCell ref="J2:J3"/>
    <mergeCell ref="L2:L3"/>
    <mergeCell ref="J9:O9"/>
    <mergeCell ref="P2:P3"/>
    <mergeCell ref="J11:O11"/>
    <mergeCell ref="A9:F9"/>
    <mergeCell ref="A2:A3"/>
    <mergeCell ref="C2:C3"/>
    <mergeCell ref="E2:E3"/>
    <mergeCell ref="A8:F8"/>
    <mergeCell ref="A11:F11"/>
    <mergeCell ref="J10:O10"/>
  </mergeCells>
  <pageMargins left="0.7" right="0.7" top="0.75" bottom="0.75" header="0" footer="0"/>
  <pageSetup orientation="landscape"/>
  <headerFooter>
    <oddFooter>&amp;C000000&amp;P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F7B8-61C0-424F-8EEA-666719567844}">
  <dimension ref="A1:Y13"/>
  <sheetViews>
    <sheetView zoomScaleNormal="100" workbookViewId="0">
      <selection activeCell="A2" sqref="A2:P2"/>
    </sheetView>
  </sheetViews>
  <sheetFormatPr defaultColWidth="8.88671875" defaultRowHeight="10.199999999999999" x14ac:dyDescent="0.2"/>
  <cols>
    <col min="1" max="1" width="26.5546875" style="18" customWidth="1"/>
    <col min="2" max="16" width="9.5546875" style="18" customWidth="1"/>
    <col min="17" max="16384" width="8.88671875" style="18"/>
  </cols>
  <sheetData>
    <row r="1" spans="1:25" ht="29.25" customHeight="1" x14ac:dyDescent="0.2">
      <c r="A1" s="116" t="s">
        <v>193</v>
      </c>
      <c r="B1" s="116"/>
      <c r="C1" s="116"/>
      <c r="D1" s="116"/>
      <c r="E1" s="116"/>
      <c r="F1" s="116"/>
      <c r="G1" s="116"/>
      <c r="H1" s="116"/>
      <c r="I1" s="116"/>
      <c r="J1" s="116"/>
      <c r="K1" s="116"/>
      <c r="L1" s="116"/>
      <c r="M1" s="116"/>
      <c r="N1" s="116"/>
      <c r="O1" s="116"/>
      <c r="P1" s="116"/>
      <c r="Q1" s="17"/>
    </row>
    <row r="2" spans="1:25" ht="249.9" customHeight="1" x14ac:dyDescent="0.2">
      <c r="A2" s="162" t="s">
        <v>194</v>
      </c>
      <c r="B2" s="162"/>
      <c r="C2" s="162"/>
      <c r="D2" s="162"/>
      <c r="E2" s="162"/>
      <c r="F2" s="162"/>
      <c r="G2" s="162"/>
      <c r="H2" s="162"/>
      <c r="I2" s="162"/>
      <c r="J2" s="162"/>
      <c r="K2" s="162"/>
      <c r="L2" s="162"/>
      <c r="M2" s="162"/>
      <c r="N2" s="162"/>
      <c r="O2" s="162"/>
      <c r="P2" s="162"/>
      <c r="Q2" s="17"/>
    </row>
    <row r="3" spans="1:25" s="94" customFormat="1" x14ac:dyDescent="0.2">
      <c r="A3" s="92"/>
      <c r="B3" s="92"/>
      <c r="C3" s="92"/>
      <c r="D3" s="92"/>
      <c r="E3" s="92"/>
      <c r="F3" s="92"/>
      <c r="G3" s="92"/>
      <c r="H3" s="92"/>
      <c r="I3" s="92"/>
      <c r="J3" s="92"/>
      <c r="K3" s="92"/>
      <c r="L3" s="92"/>
      <c r="M3" s="92"/>
      <c r="N3" s="92"/>
      <c r="O3" s="92"/>
      <c r="P3" s="92"/>
      <c r="Q3" s="93"/>
      <c r="R3" s="16"/>
      <c r="S3" s="16"/>
      <c r="T3" s="16"/>
      <c r="U3" s="16"/>
      <c r="V3" s="16"/>
      <c r="W3" s="16"/>
      <c r="X3" s="16"/>
      <c r="Y3" s="16"/>
    </row>
    <row r="4" spans="1:25" ht="29.25" customHeight="1" x14ac:dyDescent="0.2">
      <c r="A4" s="116" t="s">
        <v>195</v>
      </c>
      <c r="B4" s="116"/>
      <c r="C4" s="116"/>
      <c r="D4" s="116"/>
      <c r="E4" s="116"/>
      <c r="F4" s="116"/>
      <c r="G4" s="116"/>
      <c r="H4" s="116"/>
      <c r="I4" s="116"/>
      <c r="J4" s="116"/>
      <c r="K4" s="116"/>
      <c r="L4" s="116"/>
      <c r="M4" s="116"/>
      <c r="N4" s="116"/>
      <c r="O4" s="116"/>
      <c r="P4" s="116"/>
      <c r="Q4" s="17"/>
    </row>
    <row r="5" spans="1:25" ht="14.7" customHeight="1" x14ac:dyDescent="0.2">
      <c r="A5" s="153" t="s">
        <v>168</v>
      </c>
      <c r="B5" s="153" t="s">
        <v>196</v>
      </c>
      <c r="C5" s="153"/>
      <c r="D5" s="153"/>
      <c r="E5" s="153" t="s">
        <v>197</v>
      </c>
      <c r="F5" s="153"/>
      <c r="G5" s="153"/>
      <c r="H5" s="153" t="s">
        <v>198</v>
      </c>
      <c r="I5" s="153"/>
      <c r="J5" s="153"/>
      <c r="K5" s="153" t="s">
        <v>199</v>
      </c>
      <c r="L5" s="153"/>
      <c r="M5" s="153"/>
      <c r="N5" s="153"/>
      <c r="O5" s="153"/>
      <c r="P5" s="153"/>
      <c r="Q5" s="17"/>
    </row>
    <row r="6" spans="1:25" ht="14.7" customHeight="1" x14ac:dyDescent="0.2">
      <c r="A6" s="153"/>
      <c r="B6" s="153"/>
      <c r="C6" s="153"/>
      <c r="D6" s="153"/>
      <c r="E6" s="153"/>
      <c r="F6" s="153"/>
      <c r="G6" s="153"/>
      <c r="H6" s="153"/>
      <c r="I6" s="153"/>
      <c r="J6" s="153"/>
      <c r="K6" s="153" t="s">
        <v>200</v>
      </c>
      <c r="L6" s="153"/>
      <c r="M6" s="153"/>
      <c r="N6" s="153" t="s">
        <v>201</v>
      </c>
      <c r="O6" s="153"/>
      <c r="P6" s="153"/>
      <c r="Q6" s="17"/>
    </row>
    <row r="7" spans="1:25" ht="29.1" customHeight="1" x14ac:dyDescent="0.2">
      <c r="A7" s="100" t="s">
        <v>178</v>
      </c>
      <c r="B7" s="161"/>
      <c r="C7" s="161"/>
      <c r="D7" s="161"/>
      <c r="E7" s="161"/>
      <c r="F7" s="161"/>
      <c r="G7" s="161"/>
      <c r="H7" s="161"/>
      <c r="I7" s="161"/>
      <c r="J7" s="161"/>
      <c r="K7" s="161"/>
      <c r="L7" s="161"/>
      <c r="M7" s="161"/>
      <c r="N7" s="161"/>
      <c r="O7" s="161"/>
      <c r="P7" s="161"/>
      <c r="Q7" s="17"/>
    </row>
    <row r="8" spans="1:25" ht="29.1" customHeight="1" x14ac:dyDescent="0.2">
      <c r="A8" s="100" t="s">
        <v>202</v>
      </c>
      <c r="B8" s="161"/>
      <c r="C8" s="161"/>
      <c r="D8" s="161"/>
      <c r="E8" s="161"/>
      <c r="F8" s="161"/>
      <c r="G8" s="161"/>
      <c r="H8" s="161"/>
      <c r="I8" s="161"/>
      <c r="J8" s="161"/>
      <c r="K8" s="161"/>
      <c r="L8" s="161"/>
      <c r="M8" s="161"/>
      <c r="N8" s="161"/>
      <c r="O8" s="161"/>
      <c r="P8" s="161"/>
      <c r="Q8" s="17"/>
    </row>
    <row r="9" spans="1:25" ht="29.1" customHeight="1" x14ac:dyDescent="0.2">
      <c r="A9" s="100" t="s">
        <v>179</v>
      </c>
      <c r="B9" s="161"/>
      <c r="C9" s="161"/>
      <c r="D9" s="161"/>
      <c r="E9" s="161"/>
      <c r="F9" s="161"/>
      <c r="G9" s="161"/>
      <c r="H9" s="161"/>
      <c r="I9" s="161"/>
      <c r="J9" s="161"/>
      <c r="K9" s="161"/>
      <c r="L9" s="161"/>
      <c r="M9" s="161"/>
      <c r="N9" s="161"/>
      <c r="O9" s="161"/>
      <c r="P9" s="161"/>
      <c r="Q9" s="17"/>
    </row>
    <row r="10" spans="1:25" ht="29.1" customHeight="1" x14ac:dyDescent="0.2">
      <c r="A10" s="100" t="s">
        <v>181</v>
      </c>
      <c r="B10" s="161"/>
      <c r="C10" s="161"/>
      <c r="D10" s="161"/>
      <c r="E10" s="161"/>
      <c r="F10" s="161"/>
      <c r="G10" s="161"/>
      <c r="H10" s="161"/>
      <c r="I10" s="161"/>
      <c r="J10" s="161"/>
      <c r="K10" s="161"/>
      <c r="L10" s="161"/>
      <c r="M10" s="161"/>
      <c r="N10" s="161"/>
      <c r="O10" s="161"/>
      <c r="P10" s="161"/>
      <c r="Q10" s="17"/>
    </row>
    <row r="11" spans="1:25" ht="29.1" customHeight="1" x14ac:dyDescent="0.2">
      <c r="A11" s="100" t="s">
        <v>182</v>
      </c>
      <c r="B11" s="161"/>
      <c r="C11" s="161"/>
      <c r="D11" s="161"/>
      <c r="E11" s="161"/>
      <c r="F11" s="161"/>
      <c r="G11" s="161"/>
      <c r="H11" s="161"/>
      <c r="I11" s="161"/>
      <c r="J11" s="161"/>
      <c r="K11" s="161"/>
      <c r="L11" s="161"/>
      <c r="M11" s="161"/>
      <c r="N11" s="161"/>
      <c r="O11" s="161"/>
      <c r="P11" s="161"/>
      <c r="Q11" s="17"/>
    </row>
    <row r="12" spans="1:25" ht="29.1" customHeight="1" x14ac:dyDescent="0.2">
      <c r="A12" s="100" t="s">
        <v>183</v>
      </c>
      <c r="B12" s="161"/>
      <c r="C12" s="161"/>
      <c r="D12" s="161"/>
      <c r="E12" s="161"/>
      <c r="F12" s="161"/>
      <c r="G12" s="161"/>
      <c r="H12" s="161"/>
      <c r="I12" s="161"/>
      <c r="J12" s="161"/>
      <c r="K12" s="161"/>
      <c r="L12" s="161"/>
      <c r="M12" s="161"/>
      <c r="N12" s="161"/>
      <c r="O12" s="161"/>
      <c r="P12" s="161"/>
      <c r="Q12" s="17"/>
    </row>
    <row r="13" spans="1:25" x14ac:dyDescent="0.2">
      <c r="A13" s="34"/>
      <c r="B13" s="34"/>
      <c r="C13" s="34"/>
      <c r="D13" s="34"/>
      <c r="E13" s="34"/>
      <c r="F13" s="34"/>
      <c r="G13" s="34"/>
      <c r="H13" s="34"/>
      <c r="I13" s="34"/>
      <c r="J13" s="34"/>
      <c r="K13" s="34"/>
      <c r="L13" s="34"/>
      <c r="M13" s="34"/>
      <c r="N13" s="34"/>
      <c r="O13" s="34"/>
      <c r="P13" s="34"/>
    </row>
  </sheetData>
  <mergeCells count="40">
    <mergeCell ref="A1:P1"/>
    <mergeCell ref="A2:P2"/>
    <mergeCell ref="A4:P4"/>
    <mergeCell ref="A5:A6"/>
    <mergeCell ref="B5:D6"/>
    <mergeCell ref="E5:G6"/>
    <mergeCell ref="H5:J6"/>
    <mergeCell ref="K5:P5"/>
    <mergeCell ref="K6:M6"/>
    <mergeCell ref="N6:P6"/>
    <mergeCell ref="B8:D8"/>
    <mergeCell ref="E8:G8"/>
    <mergeCell ref="H8:J8"/>
    <mergeCell ref="K8:M8"/>
    <mergeCell ref="N8:P8"/>
    <mergeCell ref="B7:D7"/>
    <mergeCell ref="E7:G7"/>
    <mergeCell ref="H7:J7"/>
    <mergeCell ref="K7:M7"/>
    <mergeCell ref="N7:P7"/>
    <mergeCell ref="B10:D10"/>
    <mergeCell ref="E10:G10"/>
    <mergeCell ref="H10:J10"/>
    <mergeCell ref="K10:M10"/>
    <mergeCell ref="N10:P10"/>
    <mergeCell ref="B9:D9"/>
    <mergeCell ref="E9:G9"/>
    <mergeCell ref="H9:J9"/>
    <mergeCell ref="K9:M9"/>
    <mergeCell ref="N9:P9"/>
    <mergeCell ref="B12:D12"/>
    <mergeCell ref="E12:G12"/>
    <mergeCell ref="H12:J12"/>
    <mergeCell ref="K12:M12"/>
    <mergeCell ref="N12:P12"/>
    <mergeCell ref="B11:D11"/>
    <mergeCell ref="E11:G11"/>
    <mergeCell ref="H11:J11"/>
    <mergeCell ref="K11:M11"/>
    <mergeCell ref="N11:P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3"/>
  <sheetViews>
    <sheetView showGridLines="0" zoomScaleNormal="100" workbookViewId="0">
      <selection activeCell="B13" sqref="B13"/>
    </sheetView>
  </sheetViews>
  <sheetFormatPr defaultColWidth="12.44140625" defaultRowHeight="10.199999999999999" x14ac:dyDescent="0.2"/>
  <cols>
    <col min="1" max="1" width="24.77734375" style="21" customWidth="1"/>
    <col min="2" max="3" width="50.77734375" style="21" customWidth="1"/>
    <col min="4" max="5" width="24.77734375" style="21" customWidth="1"/>
    <col min="6" max="6" width="38" style="19" bestFit="1" customWidth="1"/>
    <col min="7" max="9" width="10.88671875" style="19" customWidth="1"/>
    <col min="10" max="10" width="12.44140625" style="19" customWidth="1"/>
    <col min="11" max="16384" width="12.44140625" style="19"/>
  </cols>
  <sheetData>
    <row r="1" spans="1:5" s="22" customFormat="1" ht="29.25" customHeight="1" x14ac:dyDescent="0.3">
      <c r="A1" s="163" t="s">
        <v>203</v>
      </c>
      <c r="B1" s="164"/>
      <c r="C1" s="164"/>
      <c r="D1" s="164"/>
      <c r="E1" s="164"/>
    </row>
    <row r="2" spans="1:5" s="22" customFormat="1" ht="29.25" customHeight="1" x14ac:dyDescent="0.3">
      <c r="A2" s="49" t="s">
        <v>204</v>
      </c>
      <c r="B2" s="112" t="s">
        <v>205</v>
      </c>
      <c r="C2" s="49" t="s">
        <v>206</v>
      </c>
      <c r="D2" s="112" t="s">
        <v>207</v>
      </c>
      <c r="E2" s="112" t="s">
        <v>208</v>
      </c>
    </row>
    <row r="3" spans="1:5" ht="29.25" customHeight="1" x14ac:dyDescent="0.2">
      <c r="A3" s="50" t="s">
        <v>209</v>
      </c>
      <c r="B3" s="50" t="s">
        <v>210</v>
      </c>
      <c r="C3" s="50" t="s">
        <v>211</v>
      </c>
      <c r="D3" s="51" t="s">
        <v>212</v>
      </c>
      <c r="E3" s="52" t="s">
        <v>213</v>
      </c>
    </row>
    <row r="4" spans="1:5" s="20" customFormat="1" ht="29.25" customHeight="1" x14ac:dyDescent="0.2">
      <c r="A4" s="53" t="s">
        <v>214</v>
      </c>
      <c r="B4" s="53" t="s">
        <v>215</v>
      </c>
      <c r="C4" s="53" t="s">
        <v>216</v>
      </c>
      <c r="D4" s="54" t="s">
        <v>217</v>
      </c>
      <c r="E4" s="55" t="s">
        <v>218</v>
      </c>
    </row>
    <row r="5" spans="1:5" ht="29.25" customHeight="1" x14ac:dyDescent="0.2">
      <c r="A5" s="50" t="s">
        <v>219</v>
      </c>
      <c r="B5" s="50" t="s">
        <v>220</v>
      </c>
      <c r="C5" s="50" t="s">
        <v>221</v>
      </c>
      <c r="D5" s="51" t="s">
        <v>222</v>
      </c>
      <c r="E5" s="52" t="s">
        <v>218</v>
      </c>
    </row>
    <row r="6" spans="1:5" ht="29.25" customHeight="1" x14ac:dyDescent="0.2">
      <c r="A6" s="50" t="s">
        <v>223</v>
      </c>
      <c r="B6" s="50" t="s">
        <v>224</v>
      </c>
      <c r="C6" s="50" t="s">
        <v>221</v>
      </c>
      <c r="D6" s="51" t="s">
        <v>225</v>
      </c>
      <c r="E6" s="52" t="s">
        <v>218</v>
      </c>
    </row>
    <row r="7" spans="1:5" ht="29.25" customHeight="1" x14ac:dyDescent="0.2">
      <c r="A7" s="50" t="s">
        <v>226</v>
      </c>
      <c r="B7" s="50" t="s">
        <v>227</v>
      </c>
      <c r="C7" s="50" t="s">
        <v>228</v>
      </c>
      <c r="D7" s="51" t="s">
        <v>229</v>
      </c>
      <c r="E7" s="52" t="s">
        <v>213</v>
      </c>
    </row>
    <row r="8" spans="1:5" ht="29.25" customHeight="1" x14ac:dyDescent="0.2">
      <c r="A8" s="50" t="s">
        <v>230</v>
      </c>
      <c r="B8" s="50" t="s">
        <v>231</v>
      </c>
      <c r="C8" s="50" t="s">
        <v>232</v>
      </c>
      <c r="D8" s="51" t="s">
        <v>222</v>
      </c>
      <c r="E8" s="52" t="s">
        <v>218</v>
      </c>
    </row>
    <row r="10" spans="1:5" s="22" customFormat="1" ht="29.25" customHeight="1" x14ac:dyDescent="0.3">
      <c r="A10" s="49" t="s">
        <v>233</v>
      </c>
      <c r="B10" s="112" t="s">
        <v>234</v>
      </c>
      <c r="C10" s="49" t="s">
        <v>235</v>
      </c>
      <c r="D10" s="163" t="s">
        <v>206</v>
      </c>
      <c r="E10" s="164"/>
    </row>
    <row r="11" spans="1:5" ht="29.25" customHeight="1" x14ac:dyDescent="0.2">
      <c r="A11" s="56" t="s">
        <v>236</v>
      </c>
      <c r="B11" s="57" t="str">
        <f ca="1">IF('7.0'!A3, "Yes", "No")</f>
        <v>No</v>
      </c>
      <c r="C11" s="56" t="s">
        <v>237</v>
      </c>
      <c r="D11" s="165" t="s">
        <v>238</v>
      </c>
      <c r="E11" s="117"/>
    </row>
    <row r="12" spans="1:5" ht="29.25" customHeight="1" x14ac:dyDescent="0.2">
      <c r="A12" s="56" t="s">
        <v>239</v>
      </c>
      <c r="B12" s="57" t="str">
        <f ca="1">IF('7.0'!A5, "Yes", "No")</f>
        <v>No</v>
      </c>
      <c r="C12" s="56" t="s">
        <v>240</v>
      </c>
      <c r="D12" s="117"/>
      <c r="E12" s="117"/>
    </row>
    <row r="13" spans="1:5" ht="29.25" customHeight="1" x14ac:dyDescent="0.2">
      <c r="A13" s="56" t="s">
        <v>241</v>
      </c>
      <c r="B13" s="57" t="str">
        <f ca="1">IF('7.0'!A6, "Yes", "No")</f>
        <v>No</v>
      </c>
      <c r="C13" s="56" t="s">
        <v>242</v>
      </c>
      <c r="D13" s="117"/>
      <c r="E13" s="117"/>
    </row>
    <row r="14" spans="1:5" ht="29.25" customHeight="1" x14ac:dyDescent="0.2">
      <c r="A14" s="56" t="s">
        <v>243</v>
      </c>
      <c r="B14" s="57" t="str">
        <f ca="1">IF('7.0'!A7, "Yes", "No")</f>
        <v>No</v>
      </c>
      <c r="C14" s="56" t="s">
        <v>244</v>
      </c>
      <c r="D14" s="117"/>
      <c r="E14" s="117"/>
    </row>
    <row r="15" spans="1:5" ht="29.25" customHeight="1" x14ac:dyDescent="0.2">
      <c r="A15" s="56" t="s">
        <v>245</v>
      </c>
      <c r="B15" s="57" t="str">
        <f ca="1">IF('7.0'!A11, "Yes", "No")</f>
        <v>No</v>
      </c>
      <c r="C15" s="56" t="s">
        <v>246</v>
      </c>
      <c r="D15" s="117"/>
      <c r="E15" s="117"/>
    </row>
    <row r="16" spans="1:5" ht="29.25" customHeight="1" x14ac:dyDescent="0.2">
      <c r="A16" s="56" t="s">
        <v>247</v>
      </c>
      <c r="B16" s="57" t="str">
        <f ca="1">IF('7.0'!A9, "Yes", "No")</f>
        <v>No</v>
      </c>
      <c r="C16" s="56" t="s">
        <v>248</v>
      </c>
      <c r="D16" s="117"/>
      <c r="E16" s="117"/>
    </row>
    <row r="17" spans="1:5" ht="29.25" customHeight="1" x14ac:dyDescent="0.2">
      <c r="A17" s="56" t="s">
        <v>249</v>
      </c>
      <c r="B17" s="57" t="str">
        <f ca="1">IF('7.0'!A10, "Yes", "No")</f>
        <v>No</v>
      </c>
      <c r="C17" s="56" t="s">
        <v>250</v>
      </c>
      <c r="D17" s="117"/>
      <c r="E17" s="117"/>
    </row>
    <row r="18" spans="1:5" ht="29.25" customHeight="1" x14ac:dyDescent="0.2">
      <c r="A18" s="56" t="s">
        <v>251</v>
      </c>
      <c r="B18" s="57" t="str">
        <f ca="1">IF(OR('7.0'!A12, '7.0'!A13), "Yes", "No")</f>
        <v>No</v>
      </c>
      <c r="C18" s="56" t="s">
        <v>252</v>
      </c>
      <c r="D18" s="117"/>
      <c r="E18" s="117"/>
    </row>
    <row r="20" spans="1:5" x14ac:dyDescent="0.2">
      <c r="B20" s="19"/>
      <c r="D20" s="19"/>
      <c r="E20" s="19"/>
    </row>
    <row r="21" spans="1:5" x14ac:dyDescent="0.2">
      <c r="B21" s="19"/>
      <c r="D21" s="19"/>
      <c r="E21" s="19"/>
    </row>
    <row r="22" spans="1:5" x14ac:dyDescent="0.2">
      <c r="B22" s="19"/>
      <c r="D22" s="19"/>
      <c r="E22" s="19"/>
    </row>
    <row r="23" spans="1:5" x14ac:dyDescent="0.2">
      <c r="B23" s="19"/>
      <c r="D23" s="19"/>
      <c r="E23" s="19"/>
    </row>
    <row r="24" spans="1:5" x14ac:dyDescent="0.2">
      <c r="B24" s="19"/>
      <c r="D24" s="19"/>
      <c r="E24" s="19"/>
    </row>
    <row r="25" spans="1:5" x14ac:dyDescent="0.2">
      <c r="B25" s="19"/>
      <c r="D25" s="19"/>
      <c r="E25" s="19"/>
    </row>
    <row r="26" spans="1:5" x14ac:dyDescent="0.2">
      <c r="B26" s="19"/>
      <c r="D26" s="19"/>
      <c r="E26" s="19"/>
    </row>
    <row r="27" spans="1:5" x14ac:dyDescent="0.2">
      <c r="B27" s="19"/>
      <c r="D27" s="19"/>
      <c r="E27" s="19"/>
    </row>
    <row r="28" spans="1:5" x14ac:dyDescent="0.2">
      <c r="B28" s="19"/>
      <c r="D28" s="19"/>
      <c r="E28" s="19"/>
    </row>
    <row r="29" spans="1:5" x14ac:dyDescent="0.2">
      <c r="B29" s="19"/>
      <c r="D29" s="19"/>
      <c r="E29" s="19"/>
    </row>
    <row r="30" spans="1:5" x14ac:dyDescent="0.2">
      <c r="B30" s="19"/>
      <c r="D30" s="19"/>
      <c r="E30" s="19"/>
    </row>
    <row r="31" spans="1:5" x14ac:dyDescent="0.2">
      <c r="B31" s="19"/>
      <c r="D31" s="19"/>
    </row>
    <row r="32" spans="1:5" x14ac:dyDescent="0.2">
      <c r="B32" s="19"/>
    </row>
    <row r="33" spans="2:2" x14ac:dyDescent="0.2">
      <c r="B33" s="19"/>
    </row>
  </sheetData>
  <mergeCells count="3">
    <mergeCell ref="A1:E1"/>
    <mergeCell ref="D10:E10"/>
    <mergeCell ref="D11:E18"/>
  </mergeCells>
  <pageMargins left="0.25" right="0.25" top="0.75" bottom="0.75" header="0" footer="0"/>
  <pageSetup orientation="landscape"/>
  <headerFooter>
    <oddFooter>&amp;C000000&amp;P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1383-745C-47B6-AA8E-B9AAD3AEC21D}">
  <dimension ref="A1:C12"/>
  <sheetViews>
    <sheetView workbookViewId="0">
      <selection activeCell="B10" sqref="B10"/>
    </sheetView>
  </sheetViews>
  <sheetFormatPr defaultRowHeight="14.4" x14ac:dyDescent="0.3"/>
  <cols>
    <col min="1" max="1" width="25.5546875" customWidth="1"/>
    <col min="2" max="2" width="60.5546875" customWidth="1"/>
    <col min="3" max="3" width="80.5546875" customWidth="1"/>
  </cols>
  <sheetData>
    <row r="1" spans="1:3" ht="29.7" customHeight="1" x14ac:dyDescent="0.3">
      <c r="A1" s="116" t="s">
        <v>253</v>
      </c>
      <c r="B1" s="166"/>
      <c r="C1" s="167"/>
    </row>
    <row r="2" spans="1:3" ht="29.7" customHeight="1" x14ac:dyDescent="0.3">
      <c r="A2" s="95" t="s">
        <v>254</v>
      </c>
      <c r="B2" s="95" t="s">
        <v>255</v>
      </c>
      <c r="C2" s="95" t="s">
        <v>256</v>
      </c>
    </row>
    <row r="3" spans="1:3" ht="29.7" customHeight="1" x14ac:dyDescent="0.3">
      <c r="A3" s="95" t="s">
        <v>257</v>
      </c>
      <c r="B3" s="95" t="s">
        <v>258</v>
      </c>
      <c r="C3" s="95" t="s">
        <v>259</v>
      </c>
    </row>
    <row r="4" spans="1:3" ht="29.7" customHeight="1" x14ac:dyDescent="0.3">
      <c r="A4" s="95" t="s">
        <v>260</v>
      </c>
      <c r="B4" s="95" t="s">
        <v>261</v>
      </c>
      <c r="C4" s="95" t="s">
        <v>45</v>
      </c>
    </row>
    <row r="5" spans="1:3" ht="29.7" customHeight="1" x14ac:dyDescent="0.3">
      <c r="A5" s="95" t="s">
        <v>262</v>
      </c>
      <c r="B5" s="95" t="s">
        <v>263</v>
      </c>
      <c r="C5" s="95" t="s">
        <v>264</v>
      </c>
    </row>
    <row r="6" spans="1:3" ht="29.7" customHeight="1" x14ac:dyDescent="0.3">
      <c r="A6" s="95" t="s">
        <v>265</v>
      </c>
      <c r="B6" s="95" t="s">
        <v>266</v>
      </c>
      <c r="C6" s="95" t="s">
        <v>267</v>
      </c>
    </row>
    <row r="7" spans="1:3" ht="29.7" customHeight="1" x14ac:dyDescent="0.3">
      <c r="A7" s="95" t="s">
        <v>268</v>
      </c>
      <c r="B7" s="95" t="s">
        <v>269</v>
      </c>
      <c r="C7" s="95"/>
    </row>
    <row r="8" spans="1:3" ht="29.7" customHeight="1" x14ac:dyDescent="0.3">
      <c r="A8" s="95" t="s">
        <v>270</v>
      </c>
      <c r="B8" s="95" t="s">
        <v>271</v>
      </c>
      <c r="C8" s="95" t="s">
        <v>272</v>
      </c>
    </row>
    <row r="9" spans="1:3" ht="29.7" customHeight="1" x14ac:dyDescent="0.3">
      <c r="A9" s="95" t="s">
        <v>273</v>
      </c>
      <c r="B9" s="95" t="s">
        <v>274</v>
      </c>
      <c r="C9" s="95" t="s">
        <v>275</v>
      </c>
    </row>
    <row r="10" spans="1:3" ht="29.7" customHeight="1" x14ac:dyDescent="0.3">
      <c r="A10" s="95" t="s">
        <v>276</v>
      </c>
      <c r="B10" s="95" t="s">
        <v>277</v>
      </c>
      <c r="C10" s="95" t="s">
        <v>180</v>
      </c>
    </row>
    <row r="11" spans="1:3" ht="29.7" customHeight="1" x14ac:dyDescent="0.3">
      <c r="A11" s="95" t="s">
        <v>278</v>
      </c>
      <c r="B11" s="95" t="s">
        <v>279</v>
      </c>
      <c r="C11" s="95" t="s">
        <v>280</v>
      </c>
    </row>
    <row r="12" spans="1:3" ht="29.7" customHeight="1" x14ac:dyDescent="0.3">
      <c r="A12" s="95" t="s">
        <v>281</v>
      </c>
      <c r="B12" s="95" t="s">
        <v>282</v>
      </c>
      <c r="C12" s="95"/>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7b6fce3-a70a-4360-9f6b-df88fd828c48">
      <Terms xmlns="http://schemas.microsoft.com/office/infopath/2007/PartnerControls"/>
    </lcf76f155ced4ddcb4097134ff3c332f>
    <TaxCatchAll xmlns="3dfd1c09-e405-41b2-8629-2e83e81c130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B7637C0DBF2DA4CBE672002F2B35AC0" ma:contentTypeVersion="15" ma:contentTypeDescription="Create a new document." ma:contentTypeScope="" ma:versionID="797a85302b948391b3db5c0761a9dd70">
  <xsd:schema xmlns:xsd="http://www.w3.org/2001/XMLSchema" xmlns:xs="http://www.w3.org/2001/XMLSchema" xmlns:p="http://schemas.microsoft.com/office/2006/metadata/properties" xmlns:ns2="f7b6fce3-a70a-4360-9f6b-df88fd828c48" xmlns:ns3="3dfd1c09-e405-41b2-8629-2e83e81c1305" targetNamespace="http://schemas.microsoft.com/office/2006/metadata/properties" ma:root="true" ma:fieldsID="7c60f4d790927c2b65f1a6af82160f1d" ns2:_="" ns3:_="">
    <xsd:import namespace="f7b6fce3-a70a-4360-9f6b-df88fd828c48"/>
    <xsd:import namespace="3dfd1c09-e405-41b2-8629-2e83e81c13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b6fce3-a70a-4360-9f6b-df88fd828c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6fda90-2aee-4cc7-9da5-370494b4c4fc"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dfd1c09-e405-41b2-8629-2e83e81c130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2c94f41-b35b-4181-8f8c-a3539596638f}" ma:internalName="TaxCatchAll" ma:showField="CatchAllData" ma:web="3dfd1c09-e405-41b2-8629-2e83e81c13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740A7E-0505-4922-9CFF-02932BC77B1F}">
  <ds:schemaRefs>
    <ds:schemaRef ds:uri="http://schemas.microsoft.com/office/2006/metadata/properties"/>
    <ds:schemaRef ds:uri="http://schemas.microsoft.com/office/infopath/2007/PartnerControls"/>
    <ds:schemaRef ds:uri="f7b6fce3-a70a-4360-9f6b-df88fd828c48"/>
    <ds:schemaRef ds:uri="3dfd1c09-e405-41b2-8629-2e83e81c1305"/>
  </ds:schemaRefs>
</ds:datastoreItem>
</file>

<file path=customXml/itemProps2.xml><?xml version="1.0" encoding="utf-8"?>
<ds:datastoreItem xmlns:ds="http://schemas.openxmlformats.org/officeDocument/2006/customXml" ds:itemID="{C0D290A0-9357-42CD-AF7E-73E176F35D5E}">
  <ds:schemaRefs>
    <ds:schemaRef ds:uri="http://schemas.microsoft.com/sharepoint/v3/contenttype/forms"/>
  </ds:schemaRefs>
</ds:datastoreItem>
</file>

<file path=customXml/itemProps3.xml><?xml version="1.0" encoding="utf-8"?>
<ds:datastoreItem xmlns:ds="http://schemas.openxmlformats.org/officeDocument/2006/customXml" ds:itemID="{BC56C8DE-3D60-41EC-8A6E-95CAC3CD3E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b6fce3-a70a-4360-9f6b-df88fd828c48"/>
    <ds:schemaRef ds:uri="3dfd1c09-e405-41b2-8629-2e83e81c13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4.0</vt:lpstr>
      <vt:lpstr>7.0</vt:lpstr>
      <vt:lpstr>10.0</vt:lpstr>
      <vt:lpstr>11.0</vt:lpstr>
      <vt:lpstr>13.0 </vt:lpstr>
      <vt:lpstr>14.0</vt:lpstr>
      <vt:lpstr>13.0(TB)</vt:lpstr>
      <vt:lpstr>AIR</vt:lpstr>
      <vt:lpstr>CDM</vt:lpstr>
      <vt:lpstr>eco</vt:lpstr>
      <vt:lpstr>ExVentilation</vt:lpstr>
      <vt:lpstr>'14.0'!Measures</vt:lpstr>
      <vt:lpstr>Measures</vt:lpstr>
      <vt:lpstr>overview4</vt:lpstr>
      <vt:lpstr>Property_Overview</vt:lpstr>
      <vt:lpstr>vENT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Jyothika Pasupuleti</dc:creator>
  <cp:keywords/>
  <dc:description/>
  <cp:lastModifiedBy>Pavan Banavasi</cp:lastModifiedBy>
  <cp:revision/>
  <dcterms:created xsi:type="dcterms:W3CDTF">2024-09-09T09:51:09Z</dcterms:created>
  <dcterms:modified xsi:type="dcterms:W3CDTF">2026-04-15T12:02:17Z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0x0101001B7637C0DBF2DA4CBE672002F2B35AC0</vt:lpwstr>
  </property>
  <property fmtid="{D5CDD505-2E9C-101B-9397-08002B2CF9AE}" pid="3" name="MediaServiceImageTags">
    <vt:lpwstr/>
  </property>
</Properties>
</file>